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puts" sheetId="2" state="visible" r:id="rId4"/>
    <sheet name="Instruments" sheetId="3" state="visible" r:id="rId5"/>
    <sheet name="Pricing" sheetId="4" state="visible" r:id="rId6"/>
    <sheet name="Simulation" sheetId="5" state="visible" r:id="rId7"/>
    <sheet name="Summary" sheetId="6" state="visible" r:id="rId8"/>
  </sheets>
  <definedNames>
    <definedName function="false" hidden="false" localSheetId="4" name="_xlnm.Print_Titles" vbProcedure="false">Simulation!$4:$5</definedName>
    <definedName function="false" hidden="false" name="Basis_A" vbProcedure="false">Inputs!$E$17</definedName>
    <definedName function="false" hidden="false" name="Basis_B" vbProcedure="false">Inputs!$E$18</definedName>
    <definedName function="false" hidden="false" name="Clip_Size" vbProcedure="false">Inputs!$E$22</definedName>
    <definedName function="false" hidden="false" name="Halt_On_Loss" vbProcedure="false">Inputs!$E$31</definedName>
    <definedName function="false" hidden="false" name="Hedge_Cost_Ticks" vbProcedure="false">Inputs!$E$28</definedName>
    <definedName function="false" hidden="false" name="Hedge_Target" vbProcedure="false">Inputs!$E$30</definedName>
    <definedName function="false" hidden="false" name="Hedge_Target_Pct" vbProcedure="false">Inputs!$E$29</definedName>
    <definedName function="false" hidden="false" name="Instrument" vbProcedure="false">Inputs!$C$4</definedName>
    <definedName function="false" hidden="false" name="Inst_Row" vbProcedure="false">Inputs!$C$5</definedName>
    <definedName function="false" hidden="false" name="Inst_Type" vbProcedure="false">Inputs!$E$10</definedName>
    <definedName function="false" hidden="false" name="Loss_Limit" vbProcedure="false">Inputs!$E$27</definedName>
    <definedName function="false" hidden="false" name="Max_Skew_Ticks" vbProcedure="false">Inputs!$E$24</definedName>
    <definedName function="false" hidden="false" name="PnL_Ccy" vbProcedure="false">Inputs!$E$12</definedName>
    <definedName function="false" hidden="false" name="Pos_Limit" vbProcedure="false">Inputs!$E$26</definedName>
    <definedName function="false" hidden="false" name="Rate_A" vbProcedure="false">Inputs!$E$15</definedName>
    <definedName function="false" hidden="false" name="Rate_B" vbProcedure="false">Inputs!$E$16</definedName>
    <definedName function="false" hidden="false" name="Spot_Init" vbProcedure="false">Inputs!$E$14</definedName>
    <definedName function="false" hidden="false" name="Spread_Ticks" vbProcedure="false">Inputs!$E$23</definedName>
    <definedName function="false" hidden="false" name="Start_Pos" vbProcedure="false">Inputs!$E$34</definedName>
    <definedName function="false" hidden="false" name="Step_Vol_Ticks" vbProcedure="false">Inputs!$E$33</definedName>
    <definedName function="false" hidden="false" name="Tenor_Days" vbProcedure="false">Inputs!$E$19</definedName>
    <definedName function="false" hidden="false" name="Tick" vbProcedure="false">Inputs!$E$21</definedName>
    <definedName function="false" hidden="false" name="Unit_Label" vbProcedure="false">Inputs!$E$11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<sst xmlns="http://schemas.openxmlformats.org/spreadsheetml/2006/main" count="379" uniqueCount="253">
  <si>
    <t xml:space="preserve">Forwards Market-Making Simulator</t>
  </si>
  <si>
    <t xml:space="preserve">Pick any FX pair or commodity: the model prices its forward, quotes a two-way market with inventory skew, and hedges back-to-back when position or loss limits are breached.</t>
  </si>
  <si>
    <t xml:space="preserve">START HERE</t>
  </si>
  <si>
    <t xml:space="preserve">1. Choose an instrument</t>
  </si>
  <si>
    <t xml:space="preserve">Inputs!C4 is a dropdown of 7 FX pairs, 5 commodities and one Custom row. Everything (pricing, quote size, spread, limits, labels, charts) re-prices when you change it.</t>
  </si>
  <si>
    <t xml:space="preserve">2. Tweak assumptions</t>
  </si>
  <si>
    <t xml:space="preserve">Inputs shows each instrument's default, an optional Override column (blue on yellow) and the ACTIVE value the model uses. Leave Override blank to use the default.</t>
  </si>
  <si>
    <t xml:space="preserve">3. Run a scenario</t>
  </si>
  <si>
    <t xml:space="preserve">On Simulation, edit the blue columns: market move (in step-vol units, so one scenario works for every instrument) and client action (BUY / SELL / NONE).</t>
  </si>
  <si>
    <t xml:space="preserve">4. Read the results</t>
  </si>
  <si>
    <t xml:space="preserve">Summary: fills, hedges, P&amp;L attribution, limit usage, checks and charts. Pricing: quote calculator and skew ladder for any inventory.</t>
  </si>
  <si>
    <t xml:space="preserve">SHEETS</t>
  </si>
  <si>
    <t xml:space="preserve">Inputs</t>
  </si>
  <si>
    <t xml:space="preserve">Instrument selector, defaults + overrides, global risk settings.</t>
  </si>
  <si>
    <t xml:space="preserve">Instruments</t>
  </si>
  <si>
    <t xml:space="preserve">The instrument library (one row each) with a live fair forward, forward points and premium/discount for every instrument. Edit a row or overwrite the Custom row to add your own.</t>
  </si>
  <si>
    <t xml:space="preserve">Pricing</t>
  </si>
  <si>
    <t xml:space="preserve">Step-by-step derivation of the fair forward for the selected instrument, a live quote calculator and a skew ladder.</t>
  </si>
  <si>
    <t xml:space="preserve">Simulation</t>
  </si>
  <si>
    <t xml:space="preserve">60-step market replay: market move, client RFQ, quotes, fill, P&amp;L, limit checks and hedge for every step.</t>
  </si>
  <si>
    <t xml:space="preserve">Summary</t>
  </si>
  <si>
    <t xml:space="preserve">Fills, hedges, P&amp;L attribution (spread capture / mark-to-market / hedge cost), limit usage, checks, charts.</t>
  </si>
  <si>
    <t xml:space="preserve">PRICING</t>
  </si>
  <si>
    <t xml:space="preserve">One formula, two readings</t>
  </si>
  <si>
    <t xml:space="preserve">F = Spot x (1 + rate B x d / basis B) / (1 + rate A x d / basis A).</t>
  </si>
  <si>
    <t xml:space="preserve">FX pair BASE/QUOTE</t>
  </si>
  <si>
    <t xml:space="preserve">Covered interest parity: rate A = BASE-currency rate, rate B = QUOTE-currency rate. Higher-yielding currency trades at a forward discount. Position unit = BASE currency; P&amp;L in QUOTE currency.</t>
  </si>
  <si>
    <t xml:space="preserve">Commodity</t>
  </si>
  <si>
    <t xml:space="preserve">Cost of carry: rate A = convenience yield, rate B = financing + storage cost. Carry &gt; yield gives contango (forward above spot, e.g. Gold, Natural Gas); yield &gt; carry gives backwardation (e.g. WTI). P&amp;L in USD.</t>
  </si>
  <si>
    <t xml:space="preserve">QUOTING AND RISK</t>
  </si>
  <si>
    <t xml:space="preserve">Quotes</t>
  </si>
  <si>
    <t xml:space="preserve">Mid = fair forward + skew. Bid = round(fair/tick + skew - spread/2) x tick, Ask = Bid + spread. Fixed clip size each side.</t>
  </si>
  <si>
    <t xml:space="preserve">Skew</t>
  </si>
  <si>
    <t xml:space="preserve">Skew (ticks) = -(position / position limit, capped at +/-100%) x max skew. Long inventory pushes both quotes down (cheap to buy from us, unattractive to sell to us); short pushes them up.</t>
  </si>
  <si>
    <t xml:space="preserve">Position limit</t>
  </si>
  <si>
    <t xml:space="preserve">If |position| after a client fill exceeds the limit, a back-to-back hedge trades the street back to the residual (% of limit, default 0 = flat), paying the street half-spread.</t>
  </si>
  <si>
    <t xml:space="preserve">Loss limit</t>
  </si>
  <si>
    <t xml:space="preserve">If cumulative P&amp;L (before that step's hedge cost) reaches -loss limit, the book is flattened. With 'halt' = 1 quoting then stops for the rest of the run.</t>
  </si>
  <si>
    <t xml:space="preserve">CONVENTIONS</t>
  </si>
  <si>
    <t xml:space="preserve">Position</t>
  </si>
  <si>
    <t xml:space="preserve">Net units bought forward from clients (+ = long). Client BUY lifts our Ask (we go shorter); client SELL hits our Bid.</t>
  </si>
  <si>
    <t xml:space="preserve">P&amp;L</t>
  </si>
  <si>
    <t xml:space="preserve">In the quote/P&amp;L currency, measured against fair forward: spread capture + mark-to-market of opening position on the fair-forward move + street hedge cost.</t>
  </si>
  <si>
    <t xml:space="preserve">Market move</t>
  </si>
  <si>
    <t xml:space="preserve">Spot change per step = move (sigma units) x step vol (ticks) x tick. Step vol is set per instrument.</t>
  </si>
  <si>
    <t xml:space="preserve">LIMITATIONS</t>
  </si>
  <si>
    <t xml:space="preserve">Simplifications</t>
  </si>
  <si>
    <t xml:space="preserve">Constant tenor each step (no roll-down); P&amp;L not discounted; one RFQ per step at a fixed size; hedges fill instantly at fair +/- street half-spread. ALL spots, rates, sizes and limits are illustrative placeholders, not live market data: update them before drawing conclusions. The default scenario is randomly generated (seed 277) for demonstration.</t>
  </si>
  <si>
    <t xml:space="preserve">Inputs &amp; Assumptions</t>
  </si>
  <si>
    <t xml:space="preserve">Blue on yellow = editable. Pick an instrument; leave Override blank to use its default. The ACTIVE column (bold) is what the model uses.</t>
  </si>
  <si>
    <t xml:space="preserve">Select instrument  (FX pair or commodity)</t>
  </si>
  <si>
    <t xml:space="preserve">USD/SGD</t>
  </si>
  <si>
    <t xml:space="preserve">&lt;- dropdown; change me</t>
  </si>
  <si>
    <t xml:space="preserve">Row in Instruments table</t>
  </si>
  <si>
    <t xml:space="preserve">Instrument note</t>
  </si>
  <si>
    <t xml:space="preserve">Assumption</t>
  </si>
  <si>
    <t xml:space="preserve">Instrument default</t>
  </si>
  <si>
    <t xml:space="preserve">Override (optional)</t>
  </si>
  <si>
    <t xml:space="preserve">ACTIVE value</t>
  </si>
  <si>
    <t xml:space="preserve">Unit</t>
  </si>
  <si>
    <t xml:space="preserve">Note</t>
  </si>
  <si>
    <t xml:space="preserve">INSTRUMENT</t>
  </si>
  <si>
    <t xml:space="preserve">Instrument type</t>
  </si>
  <si>
    <t xml:space="preserve">-</t>
  </si>
  <si>
    <t xml:space="preserve">FX = interest-rate parity; Commodity = cost of carry.</t>
  </si>
  <si>
    <t xml:space="preserve">Position unit</t>
  </si>
  <si>
    <t xml:space="preserve">FX: base currency. Commodity: contract unit (oz, bbl, t, MMBtu).</t>
  </si>
  <si>
    <t xml:space="preserve">P&amp;L / quote currency</t>
  </si>
  <si>
    <t xml:space="preserve">All P&amp;L, loss limit and hedge cost are in this currency.</t>
  </si>
  <si>
    <t xml:space="preserve">Starting spot price</t>
  </si>
  <si>
    <t xml:space="preserve">Illustrative level, not live market data.</t>
  </si>
  <si>
    <t xml:space="preserve">% p.a.</t>
  </si>
  <si>
    <t xml:space="preserve">Denominator of the forward formula. USD/SGD brief: USD 4.00%.</t>
  </si>
  <si>
    <t xml:space="preserve">Numerator of the forward formula. USD/SGD brief: SGD 0.55%. Commodity: financing + storage.</t>
  </si>
  <si>
    <t xml:space="preserve">Day-count basis for rate A</t>
  </si>
  <si>
    <t xml:space="preserve">days</t>
  </si>
  <si>
    <t xml:space="preserve">Money-market convention: ACT/360 for USD, EUR, JPY, CHF; ACT/365 for GBP, AUD, SGD, CNH.</t>
  </si>
  <si>
    <t xml:space="preserve">Day-count basis for rate B</t>
  </si>
  <si>
    <t xml:space="preserve">Forward tenor</t>
  </si>
  <si>
    <t xml:space="preserve">USD/SGD brief: 45 days.</t>
  </si>
  <si>
    <t xml:space="preserve">QUOTING</t>
  </si>
  <si>
    <t xml:space="preserve">Tick size</t>
  </si>
  <si>
    <t xml:space="preserve">1 tick = smallest quoted price increment.</t>
  </si>
  <si>
    <t xml:space="preserve">Quote size per side</t>
  </si>
  <si>
    <t xml:space="preserve">USD/SGD brief: USD 250k per side.</t>
  </si>
  <si>
    <t xml:space="preserve">Bid/offer spread</t>
  </si>
  <si>
    <t xml:space="preserve">ticks</t>
  </si>
  <si>
    <t xml:space="preserve">USD/SGD brief: 5 ticks.</t>
  </si>
  <si>
    <t xml:space="preserve">Max skew at full position limit</t>
  </si>
  <si>
    <t xml:space="preserve">How hard quotes lean away from inventory at limit; linear below.</t>
  </si>
  <si>
    <t xml:space="preserve">RISK LIMITS &amp; HEDGING</t>
  </si>
  <si>
    <t xml:space="preserve">Position limit (absolute)</t>
  </si>
  <si>
    <t xml:space="preserve">Breach -&gt; back-to-back hedge with the street.</t>
  </si>
  <si>
    <t xml:space="preserve">Cumulative loss limit</t>
  </si>
  <si>
    <t xml:space="preserve">Breach -&gt; flatten the book with the street.</t>
  </si>
  <si>
    <t xml:space="preserve">Street half-spread paid on hedges</t>
  </si>
  <si>
    <t xml:space="preserve">Hedges execute at fair forward -/+ this many ticks.</t>
  </si>
  <si>
    <t xml:space="preserve">Residual position after limit hedge (% of position limit)</t>
  </si>
  <si>
    <t xml:space="preserve">% of limit</t>
  </si>
  <si>
    <t xml:space="preserve">0% = hedge fully flat; 25% keeps a quarter-limit residual in the same direction. Assumption.</t>
  </si>
  <si>
    <t xml:space="preserve">  = residual position</t>
  </si>
  <si>
    <t xml:space="preserve">Halt quoting after loss-limit breach  (1 = yes, 0 = no)</t>
  </si>
  <si>
    <t xml:space="preserve">flag</t>
  </si>
  <si>
    <t xml:space="preserve">0 = keep quoting (the desk re-flattens every step cumulative P&amp;L stays below the limit). Assumption.</t>
  </si>
  <si>
    <t xml:space="preserve">SIMULATION</t>
  </si>
  <si>
    <t xml:space="preserve">Step volatility (1.0 sigma move per step)</t>
  </si>
  <si>
    <t xml:space="preserve">Simulation market moves are in sigma units x this x tick.</t>
  </si>
  <si>
    <t xml:space="preserve">Opening position</t>
  </si>
  <si>
    <t xml:space="preserve">Assumption: start flat.</t>
  </si>
  <si>
    <t xml:space="preserve">Instrument Library</t>
  </si>
  <si>
    <t xml:space="preserve">One row per instrument. Blue = editable input; black = formula. Spots, rates, sizes and limits are ILLUSTRATIVE placeholders, not live market data. Overwrite the Custom row (yellow) to add your own.</t>
  </si>
  <si>
    <t xml:space="preserve">Rate A / Rate B: FX = base / quote currency interest rate; Commodity = convenience yield / (financing + storage cost). Loss limit default = 6 x position limit x step vol x tick.</t>
  </si>
  <si>
    <t xml:space="preserve">Instrument</t>
  </si>
  <si>
    <t xml:space="preserve">Type</t>
  </si>
  <si>
    <t xml:space="preserve">P&amp;L ccy</t>
  </si>
  <si>
    <t xml:space="preserve">Spot</t>
  </si>
  <si>
    <t xml:space="preserve">Rate A</t>
  </si>
  <si>
    <t xml:space="preserve">Financing (commodity)</t>
  </si>
  <si>
    <t xml:space="preserve">Storage (commodity)</t>
  </si>
  <si>
    <t xml:space="preserve">Rate B</t>
  </si>
  <si>
    <t xml:space="preserve">Day basis A</t>
  </si>
  <si>
    <t xml:space="preserve">Day basis B</t>
  </si>
  <si>
    <t xml:space="preserve">Tenor (days)</t>
  </si>
  <si>
    <t xml:space="preserve">Quote size (units)</t>
  </si>
  <si>
    <t xml:space="preserve">Spread (ticks)</t>
  </si>
  <si>
    <t xml:space="preserve">Max skew (ticks)</t>
  </si>
  <si>
    <t xml:space="preserve">Position limit (units)</t>
  </si>
  <si>
    <t xml:space="preserve">Loss limit (P&amp;L ccy)</t>
  </si>
  <si>
    <t xml:space="preserve">Hedge cost (ticks)</t>
  </si>
  <si>
    <t xml:space="preserve">Step vol (ticks)</t>
  </si>
  <si>
    <t xml:space="preserve">Fair forward</t>
  </si>
  <si>
    <t xml:space="preserve">Fwd points (ticks)</t>
  </si>
  <si>
    <t xml:space="preserve">Premium / (discount) p.a.</t>
  </si>
  <si>
    <t xml:space="preserve">Source / note</t>
  </si>
  <si>
    <t xml:space="preserve">FX</t>
  </si>
  <si>
    <t xml:space="preserve">USD</t>
  </si>
  <si>
    <t xml:space="preserve">SGD</t>
  </si>
  <si>
    <t xml:space="preserve">n/a</t>
  </si>
  <si>
    <t xml:space="preserve">Original project brief: USD 4.00%, SGD 0.55%, 45-day tenor, USD 250k, 5-tick spread. Spot illustrative.</t>
  </si>
  <si>
    <t xml:space="preserve">EUR/USD</t>
  </si>
  <si>
    <t xml:space="preserve">EUR</t>
  </si>
  <si>
    <t xml:space="preserve">Most liquid pair: tight spread. Rates illustrative (EUR 2.00%, USD 4.00%).</t>
  </si>
  <si>
    <t xml:space="preserve">GBP/USD</t>
  </si>
  <si>
    <t xml:space="preserve">GBP</t>
  </si>
  <si>
    <t xml:space="preserve">Rates illustrative (GBP 4.00%, USD 4.00%): near-zero carry, forward ~ spot.</t>
  </si>
  <si>
    <t xml:space="preserve">USD/JPY</t>
  </si>
  <si>
    <t xml:space="preserve">JPY</t>
  </si>
  <si>
    <t xml:space="preserve">JPY quoted to 2 decimals (1 tick = 0.01). Large forward discount: USD yield &gt;&gt; JPY yield. Illustrative.</t>
  </si>
  <si>
    <t xml:space="preserve">AUD/USD</t>
  </si>
  <si>
    <t xml:space="preserve">AUD</t>
  </si>
  <si>
    <t xml:space="preserve">Rates illustrative (AUD 3.60%, USD 4.00%).</t>
  </si>
  <si>
    <t xml:space="preserve">USD/CHF</t>
  </si>
  <si>
    <t xml:space="preserve">CHF</t>
  </si>
  <si>
    <t xml:space="preserve">Rates illustrative (USD 4.00%, CHF 0.25%): large forward discount.</t>
  </si>
  <si>
    <t xml:space="preserve">USD/CNH</t>
  </si>
  <si>
    <t xml:space="preserve">CNH</t>
  </si>
  <si>
    <t xml:space="preserve">Offshore yuan: wider spread / skew than G10. Rates illustrative (USD 4.00%, CNH 1.80%).</t>
  </si>
  <si>
    <t xml:space="preserve">Gold</t>
  </si>
  <si>
    <t xml:space="preserve">oz</t>
  </si>
  <si>
    <t xml:space="preserve">Price USD/oz, 90-day forward. Conv. yield ~ lease rate 0.20%; financing 4.00% + storage 0.10%. Contango. Illustrative.</t>
  </si>
  <si>
    <t xml:space="preserve">Silver</t>
  </si>
  <si>
    <t xml:space="preserve">Price USD/oz, 90-day forward. Conv. yield 0.30%; financing 4.00% + storage 0.30%. Illustrative.</t>
  </si>
  <si>
    <t xml:space="preserve">WTI Crude</t>
  </si>
  <si>
    <t xml:space="preserve">bbl</t>
  </si>
  <si>
    <t xml:space="preserve">Price USD/bbl, 90-day forward. Conv. yield 7.00% &gt; carry 6.00% -&gt; mild BACKWARDATION (forward &lt; spot). Illustrative.</t>
  </si>
  <si>
    <t xml:space="preserve">Copper</t>
  </si>
  <si>
    <t xml:space="preserve">t</t>
  </si>
  <si>
    <t xml:space="preserve">Price USD/tonne, 90-day forward. Conv. yield 2.00%; financing 4.00% + storage 1.00%. Illustrative.</t>
  </si>
  <si>
    <t xml:space="preserve">Natural Gas</t>
  </si>
  <si>
    <t xml:space="preserve">MMBtu</t>
  </si>
  <si>
    <t xml:space="preserve">Price USD/MMBtu, 90-day forward. Very high storage cost (12%) -&gt; steep CONTANGO. Illustrative.</t>
  </si>
  <si>
    <t xml:space="preserve">Custom (edit me)</t>
  </si>
  <si>
    <t xml:space="preserve">MYR</t>
  </si>
  <si>
    <t xml:space="preserve">EXAMPLE ROW (USD/MYR, illustrative): overwrite every blue cell with your own instrument.</t>
  </si>
  <si>
    <t xml:space="preserve">Highlighted row = instrument currently selected on Inputs.</t>
  </si>
  <si>
    <t xml:space="preserve">Fair forward from interest-rate parity (FX) or cost of carry (commodity), then the skewed two-way quote for any inventory.</t>
  </si>
  <si>
    <t xml:space="preserve">1. Fair forward</t>
  </si>
  <si>
    <t xml:space="preserve">Fair forward outright  =  Spot x B-factor / A-factor</t>
  </si>
  <si>
    <t xml:space="preserve">Forward points (ticks)</t>
  </si>
  <si>
    <t xml:space="preserve">Forward premium / (discount) p.a.</t>
  </si>
  <si>
    <t xml:space="preserve">Rate differential  (B - A)</t>
  </si>
  <si>
    <t xml:space="preserve">2. Live quote calculator</t>
  </si>
  <si>
    <t xml:space="preserve">Current position, in clips  (edit me; + = long)</t>
  </si>
  <si>
    <t xml:space="preserve">Position utilisation of limit</t>
  </si>
  <si>
    <t xml:space="preserve">Skew (ticks)</t>
  </si>
  <si>
    <t xml:space="preserve">Bid  (client sells to us)</t>
  </si>
  <si>
    <t xml:space="preserve">Ask  (client buys from us)</t>
  </si>
  <si>
    <t xml:space="preserve">Quoted spread (ticks)</t>
  </si>
  <si>
    <t xml:space="preserve">Mid vs fair forward (ticks)</t>
  </si>
  <si>
    <t xml:space="preserve">Position after being lifted on the Ask</t>
  </si>
  <si>
    <t xml:space="preserve">Position after being hit on the Bid</t>
  </si>
  <si>
    <t xml:space="preserve">Next fill triggers hedge?</t>
  </si>
  <si>
    <t xml:space="preserve">3. Skew ladder: quotes at every inventory level</t>
  </si>
  <si>
    <t xml:space="preserve">Position (units)</t>
  </si>
  <si>
    <t xml:space="preserve">Utilisation</t>
  </si>
  <si>
    <t xml:space="preserve">Bid</t>
  </si>
  <si>
    <t xml:space="preserve">Ask</t>
  </si>
  <si>
    <t xml:space="preserve">Limit check</t>
  </si>
  <si>
    <t xml:space="preserve">One client RFQ per step. Edit the blue columns B:C to run your own scenario; all other cells are formulas. Position = net units bought from clients (+ long).</t>
  </si>
  <si>
    <t xml:space="preserve">Default scenario: market moves and client flow randomly generated by build_simulator.py (seed 277); illustrative only. Moves are in sigma units, so the same scenario runs on any instrument.</t>
  </si>
  <si>
    <t xml:space="preserve">Scenario input</t>
  </si>
  <si>
    <t xml:space="preserve">Market</t>
  </si>
  <si>
    <t xml:space="preserve">Exposure &amp; skew</t>
  </si>
  <si>
    <t xml:space="preserve">Our quote</t>
  </si>
  <si>
    <t xml:space="preserve">Client trade</t>
  </si>
  <si>
    <t xml:space="preserve">P&amp;L and limit checks</t>
  </si>
  <si>
    <t xml:space="preserve">Back-to-back hedge</t>
  </si>
  <si>
    <t xml:space="preserve">Close of step</t>
  </si>
  <si>
    <t xml:space="preserve">Step</t>
  </si>
  <si>
    <t xml:space="preserve">Market move
(sigma units)</t>
  </si>
  <si>
    <t xml:space="preserve">Client action
(BUY / SELL / NONE)</t>
  </si>
  <si>
    <t xml:space="preserve">Utilisation of limit</t>
  </si>
  <si>
    <t xml:space="preserve">Quoting status</t>
  </si>
  <si>
    <t xml:space="preserve">Fill price</t>
  </si>
  <si>
    <t xml:space="preserve">Position after client trade</t>
  </si>
  <si>
    <t xml:space="preserve">Position limit breach</t>
  </si>
  <si>
    <t xml:space="preserve">Loss limit breach</t>
  </si>
  <si>
    <t xml:space="preserve">Hedge trigger</t>
  </si>
  <si>
    <t xml:space="preserve">Hedge price</t>
  </si>
  <si>
    <t xml:space="preserve">Quoting halted (1 = yes)</t>
  </si>
  <si>
    <t xml:space="preserve">NONE</t>
  </si>
  <si>
    <t xml:space="preserve">BUY</t>
  </si>
  <si>
    <t xml:space="preserve">SELL</t>
  </si>
  <si>
    <t xml:space="preserve">All figures are live formulas over the Simulation sheet.</t>
  </si>
  <si>
    <t xml:space="preserve">ACTIVITY</t>
  </si>
  <si>
    <t xml:space="preserve">Steps simulated</t>
  </si>
  <si>
    <t xml:space="preserve">Client fills</t>
  </si>
  <si>
    <t xml:space="preserve">RFQs that traded (quoting live)</t>
  </si>
  <si>
    <t xml:space="preserve">  Client bought (we sold at Ask)</t>
  </si>
  <si>
    <t xml:space="preserve">  Client sold (we bought at Bid)</t>
  </si>
  <si>
    <t xml:space="preserve">Position-limit hedges</t>
  </si>
  <si>
    <t xml:space="preserve">Hedged back to the residual level</t>
  </si>
  <si>
    <t xml:space="preserve">Loss-limit flattenings</t>
  </si>
  <si>
    <t xml:space="preserve">RISK USAGE</t>
  </si>
  <si>
    <t xml:space="preserve">Before any hedge</t>
  </si>
  <si>
    <t xml:space="preserve">After hedging</t>
  </si>
  <si>
    <t xml:space="preserve">Loss limit used at worst point</t>
  </si>
  <si>
    <t xml:space="preserve">100% = limit breached</t>
  </si>
  <si>
    <t xml:space="preserve">Quoting halted at end of run?</t>
  </si>
  <si>
    <t xml:space="preserve">Step at which loss limit hit</t>
  </si>
  <si>
    <t xml:space="preserve">Spread capture vs fair forward</t>
  </si>
  <si>
    <t xml:space="preserve">Mark-to-market on inventory</t>
  </si>
  <si>
    <t xml:space="preserve">Opening position x change in fair forward</t>
  </si>
  <si>
    <t xml:space="preserve">Hedge execution cost</t>
  </si>
  <si>
    <t xml:space="preserve">Total P&amp;L</t>
  </si>
  <si>
    <t xml:space="preserve">Closing cumulative P&amp;L</t>
  </si>
  <si>
    <t xml:space="preserve">INTEGRITY CHECKS</t>
  </si>
  <si>
    <t xml:space="preserve">P&amp;L attribution reconciles</t>
  </si>
  <si>
    <t xml:space="preserve">Components sum to cumulative P&amp;L</t>
  </si>
  <si>
    <t xml:space="preserve">Position roll-forward reconciles</t>
  </si>
  <si>
    <t xml:space="preserve">Start + client fills + hedges = closing position</t>
  </si>
  <si>
    <t xml:space="preserve">Hedge respects limit</t>
  </si>
  <si>
    <t xml:space="preserve">No step ends outside the position limit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</si>
</sst>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"/>
    <numFmt numFmtId="166" formatCode="#,##0.0000"/>
    <numFmt numFmtId="167" formatCode="0.00%"/>
    <numFmt numFmtId="168" formatCode="0.0000"/>
    <numFmt numFmtId="169" formatCode="#,##0;\(#,##0\);\-"/>
    <numFmt numFmtId="170" formatCode="0.0"/>
    <numFmt numFmtId="171" formatCode="0%"/>
    <numFmt numFmtId="172" formatCode="#,##0.0;\(#,##0.0\);\-"/>
    <numFmt numFmtId="173" formatCode="0.00%;\(0.00%\)"/>
    <numFmt numFmtId="174" formatCode="0.000000"/>
    <numFmt numFmtId="175" formatCode="0.0;\(0.0\);0"/>
    <numFmt numFmtId="176" formatCode="0.0%;\(0.0%\);\-"/>
    <numFmt numFmtId="177" formatCode="0.00;\(0.00\);\-"/>
    <numFmt numFmtId="178" formatCode="#,##0.00;\(#,##0.00\);\-"/>
    <numFmt numFmtId="179" formatCode="0.0;\-0.0;0.0"/>
    <numFmt numFmtId="180" formatCode="0;\-0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E699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4B084"/>
        </patternFill>
      </fill>
    </dxf>
    <dxf>
      <fill>
        <patternFill>
          <bgColor rgb="FFFFE699"/>
        </patternFill>
      </fill>
    </dxf>
    <dxf>
      <font>
        <color rgb="FF808080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008000"/>
      </font>
    </dxf>
    <dxf>
      <font>
        <name val="Arial"/>
        <charset val="1"/>
        <family val="0"/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D9D9D9"/>
      <rgbColor rgb="FFFFFF99"/>
      <rgbColor rgb="FF99CCFF"/>
      <rgbColor rgb="FFF4B084"/>
      <rgbColor rgb="FFCC99FF"/>
      <rgbColor rgb="FFF8CBAD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P&amp;L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Simulation!AA5</c:f>
              <c:strCache>
                <c:ptCount val="1"/>
                <c:pt idx="0">
                  <c:v>Cumulative P&amp;L (SGD)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Simulation!$A$6:$A$66</c:f>
              <c:strCach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strCache>
            </c:strRef>
          </c:cat>
          <c:val>
            <c:numRef>
              <c:f>Simulation!$AA$6:$AA$66</c:f>
              <c:numCache>
                <c:formatCode>#,##0.00;\(#,##0.00\);\-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69.1698187145762</c:v>
                </c:pt>
                <c:pt idx="3">
                  <c:v>99.0408062426784</c:v>
                </c:pt>
                <c:pt idx="4">
                  <c:v>93.8556873167351</c:v>
                </c:pt>
                <c:pt idx="5">
                  <c:v>94.4923498942818</c:v>
                </c:pt>
                <c:pt idx="6">
                  <c:v>116.8955905404</c:v>
                </c:pt>
                <c:pt idx="7">
                  <c:v>224.999999999975</c:v>
                </c:pt>
                <c:pt idx="8">
                  <c:v>294.169818714551</c:v>
                </c:pt>
                <c:pt idx="9">
                  <c:v>274.99999999997</c:v>
                </c:pt>
                <c:pt idx="10">
                  <c:v>274.99999999997</c:v>
                </c:pt>
                <c:pt idx="11">
                  <c:v>274.99999999997</c:v>
                </c:pt>
                <c:pt idx="12">
                  <c:v>274.99999999997</c:v>
                </c:pt>
                <c:pt idx="13">
                  <c:v>337.652865807892</c:v>
                </c:pt>
                <c:pt idx="14">
                  <c:v>255.507650105624</c:v>
                </c:pt>
                <c:pt idx="15">
                  <c:v>147.69246234575</c:v>
                </c:pt>
                <c:pt idx="16">
                  <c:v>-1.66247529481689</c:v>
                </c:pt>
                <c:pt idx="17">
                  <c:v>-39.0261194030406</c:v>
                </c:pt>
                <c:pt idx="18">
                  <c:v>229.81276834988</c:v>
                </c:pt>
                <c:pt idx="19">
                  <c:v>-165.630375519754</c:v>
                </c:pt>
                <c:pt idx="20">
                  <c:v>-90.9529066993597</c:v>
                </c:pt>
                <c:pt idx="21">
                  <c:v>13.5706399509994</c:v>
                </c:pt>
                <c:pt idx="22">
                  <c:v>177.836161657452</c:v>
                </c:pt>
                <c:pt idx="23">
                  <c:v>147.965174129294</c:v>
                </c:pt>
                <c:pt idx="24">
                  <c:v>-225.44707966983</c:v>
                </c:pt>
                <c:pt idx="25">
                  <c:v>-155.665508075733</c:v>
                </c:pt>
                <c:pt idx="26">
                  <c:v>-31.3354801331905</c:v>
                </c:pt>
                <c:pt idx="27">
                  <c:v>-125.52180876392</c:v>
                </c:pt>
                <c:pt idx="28">
                  <c:v>-348.611531383894</c:v>
                </c:pt>
                <c:pt idx="29">
                  <c:v>-895.088598104748</c:v>
                </c:pt>
                <c:pt idx="30">
                  <c:v>-895.088598104748</c:v>
                </c:pt>
                <c:pt idx="31">
                  <c:v>-820.775080078412</c:v>
                </c:pt>
                <c:pt idx="32">
                  <c:v>-820.088598104757</c:v>
                </c:pt>
                <c:pt idx="33">
                  <c:v>-820.088598104757</c:v>
                </c:pt>
                <c:pt idx="34">
                  <c:v>-767.533258365122</c:v>
                </c:pt>
                <c:pt idx="35">
                  <c:v>-797.404245893168</c:v>
                </c:pt>
                <c:pt idx="36">
                  <c:v>-784.139337558193</c:v>
                </c:pt>
                <c:pt idx="37">
                  <c:v>-1008.17174401904</c:v>
                </c:pt>
                <c:pt idx="38">
                  <c:v>-1128.35868602149</c:v>
                </c:pt>
                <c:pt idx="39">
                  <c:v>-1326.6881005923</c:v>
                </c:pt>
                <c:pt idx="40">
                  <c:v>-1590.06886798838</c:v>
                </c:pt>
                <c:pt idx="41">
                  <c:v>-1708.64315409194</c:v>
                </c:pt>
                <c:pt idx="42">
                  <c:v>-1928.12710420435</c:v>
                </c:pt>
                <c:pt idx="43">
                  <c:v>-1928.12710420435</c:v>
                </c:pt>
                <c:pt idx="44">
                  <c:v>-1928.12710420435</c:v>
                </c:pt>
                <c:pt idx="45">
                  <c:v>-1928.12710420435</c:v>
                </c:pt>
                <c:pt idx="46">
                  <c:v>-1928.12710420435</c:v>
                </c:pt>
                <c:pt idx="47">
                  <c:v>-1928.12710420435</c:v>
                </c:pt>
                <c:pt idx="48">
                  <c:v>-1928.12710420435</c:v>
                </c:pt>
                <c:pt idx="49">
                  <c:v>-1928.12710420435</c:v>
                </c:pt>
                <c:pt idx="50">
                  <c:v>-1928.12710420435</c:v>
                </c:pt>
                <c:pt idx="51">
                  <c:v>-1928.12710420435</c:v>
                </c:pt>
                <c:pt idx="52">
                  <c:v>-1928.12710420435</c:v>
                </c:pt>
                <c:pt idx="53">
                  <c:v>-1928.12710420435</c:v>
                </c:pt>
                <c:pt idx="54">
                  <c:v>-1928.12710420435</c:v>
                </c:pt>
                <c:pt idx="55">
                  <c:v>-1928.12710420435</c:v>
                </c:pt>
                <c:pt idx="56">
                  <c:v>-1928.12710420435</c:v>
                </c:pt>
                <c:pt idx="57">
                  <c:v>-1928.12710420435</c:v>
                </c:pt>
                <c:pt idx="58">
                  <c:v>-1928.12710420435</c:v>
                </c:pt>
                <c:pt idx="59">
                  <c:v>-1928.12710420435</c:v>
                </c:pt>
                <c:pt idx="60">
                  <c:v>-1928.12710420435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66271"/>
        <c:axId val="77860425"/>
      </c:lineChart>
      <c:catAx>
        <c:axId val="94662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60425"/>
        <c:crosses val="autoZero"/>
        <c:auto val="1"/>
        <c:lblAlgn val="ctr"/>
        <c:lblOffset val="100"/>
        <c:noMultiLvlLbl val="0"/>
      </c:catAx>
      <c:valAx>
        <c:axId val="77860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P&amp;L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62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position (units)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Simulation!Y5</c:f>
              <c:strCache>
                <c:ptCount val="1"/>
                <c:pt idx="0">
                  <c:v>Closing position (USD)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Simulation!$A$6:$A$66</c:f>
              <c:strCach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strCache>
            </c:strRef>
          </c:cat>
          <c:val>
            <c:numRef>
              <c:f>Simulation!$Y$6:$Y$66</c:f>
              <c:numCache>
                <c:formatCode>#,##0;\(#,##0\);\-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-250000</c:v>
                </c:pt>
                <c:pt idx="3">
                  <c:v>-250000</c:v>
                </c:pt>
                <c:pt idx="4">
                  <c:v>-500000</c:v>
                </c:pt>
                <c:pt idx="5">
                  <c:v>-250000</c:v>
                </c:pt>
                <c:pt idx="6">
                  <c:v>-250000</c:v>
                </c:pt>
                <c:pt idx="7">
                  <c:v>0</c:v>
                </c:pt>
                <c:pt idx="8">
                  <c:v>-250000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250000</c:v>
                </c:pt>
                <c:pt idx="14">
                  <c:v>250000</c:v>
                </c:pt>
                <c:pt idx="15">
                  <c:v>500000</c:v>
                </c:pt>
                <c:pt idx="16">
                  <c:v>500000</c:v>
                </c:pt>
                <c:pt idx="17">
                  <c:v>750000</c:v>
                </c:pt>
                <c:pt idx="18">
                  <c:v>750000</c:v>
                </c:pt>
                <c:pt idx="19">
                  <c:v>500000</c:v>
                </c:pt>
                <c:pt idx="20">
                  <c:v>500000</c:v>
                </c:pt>
                <c:pt idx="21">
                  <c:v>750000</c:v>
                </c:pt>
                <c:pt idx="22">
                  <c:v>1000000</c:v>
                </c:pt>
                <c:pt idx="23">
                  <c:v>1000000</c:v>
                </c:pt>
                <c:pt idx="24">
                  <c:v>0</c:v>
                </c:pt>
                <c:pt idx="25">
                  <c:v>250000</c:v>
                </c:pt>
                <c:pt idx="26">
                  <c:v>500000</c:v>
                </c:pt>
                <c:pt idx="27">
                  <c:v>750000</c:v>
                </c:pt>
                <c:pt idx="28">
                  <c:v>1000000</c:v>
                </c:pt>
                <c:pt idx="29">
                  <c:v>0</c:v>
                </c:pt>
                <c:pt idx="30">
                  <c:v>0</c:v>
                </c:pt>
                <c:pt idx="31">
                  <c:v>250000</c:v>
                </c:pt>
                <c:pt idx="32">
                  <c:v>0</c:v>
                </c:pt>
                <c:pt idx="33">
                  <c:v>0</c:v>
                </c:pt>
                <c:pt idx="34">
                  <c:v>250000</c:v>
                </c:pt>
                <c:pt idx="35">
                  <c:v>250000</c:v>
                </c:pt>
                <c:pt idx="36">
                  <c:v>500000</c:v>
                </c:pt>
                <c:pt idx="37">
                  <c:v>500000</c:v>
                </c:pt>
                <c:pt idx="38">
                  <c:v>750000</c:v>
                </c:pt>
                <c:pt idx="39">
                  <c:v>500000</c:v>
                </c:pt>
                <c:pt idx="40">
                  <c:v>750000</c:v>
                </c:pt>
                <c:pt idx="41">
                  <c:v>1000000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852880"/>
        <c:axId val="19618787"/>
      </c:lineChart>
      <c:catAx>
        <c:axId val="118528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18787"/>
        <c:crosses val="autoZero"/>
        <c:auto val="1"/>
        <c:lblAlgn val="ctr"/>
        <c:lblOffset val="100"/>
        <c:noMultiLvlLbl val="0"/>
      </c:catAx>
      <c:valAx>
        <c:axId val="196187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528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4680</xdr:colOff>
      <xdr:row>18</xdr:row>
      <xdr:rowOff>142560</xdr:rowOff>
    </xdr:to>
    <xdr:graphicFrame>
      <xdr:nvGraphicFramePr>
        <xdr:cNvPr id="0" name="Chart 1"/>
        <xdr:cNvGraphicFramePr/>
      </xdr:nvGraphicFramePr>
      <xdr:xfrm>
        <a:off x="9210600" y="571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131040</xdr:rowOff>
    </xdr:from>
    <xdr:to>
      <xdr:col>15</xdr:col>
      <xdr:colOff>4680</xdr:colOff>
      <xdr:row>36</xdr:row>
      <xdr:rowOff>142560</xdr:rowOff>
    </xdr:to>
    <xdr:graphicFrame>
      <xdr:nvGraphicFramePr>
        <xdr:cNvPr id="1" name="Chart 2"/>
        <xdr:cNvGraphicFramePr/>
      </xdr:nvGraphicFramePr>
      <xdr:xfrm>
        <a:off x="9210600" y="4000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/>
    </row>
    <row r="5" customFormat="false" ht="27.75" hidden="false" customHeight="true" outlineLevel="0" collapsed="false">
      <c r="B5" s="4" t="s">
        <v>3</v>
      </c>
      <c r="C5" s="5" t="s">
        <v>4</v>
      </c>
    </row>
    <row r="6" customFormat="false" ht="27.75" hidden="false" customHeight="true" outlineLevel="0" collapsed="false">
      <c r="B6" s="4" t="s">
        <v>5</v>
      </c>
      <c r="C6" s="5" t="s">
        <v>6</v>
      </c>
    </row>
    <row r="7" customFormat="false" ht="27.75" hidden="false" customHeight="true" outlineLevel="0" collapsed="false">
      <c r="B7" s="4" t="s">
        <v>7</v>
      </c>
      <c r="C7" s="5" t="s">
        <v>8</v>
      </c>
    </row>
    <row r="8" customFormat="false" ht="27.75" hidden="false" customHeight="true" outlineLevel="0" collapsed="false">
      <c r="B8" s="4" t="s">
        <v>9</v>
      </c>
      <c r="C8" s="5" t="s">
        <v>10</v>
      </c>
    </row>
    <row r="9" customFormat="false" ht="15" hidden="false" customHeight="false" outlineLevel="0" collapsed="false">
      <c r="B9" s="3" t="s">
        <v>11</v>
      </c>
      <c r="C9" s="3"/>
    </row>
    <row r="10" customFormat="false" ht="13.5" hidden="false" customHeight="true" outlineLevel="0" collapsed="false">
      <c r="B10" s="4" t="s">
        <v>12</v>
      </c>
      <c r="C10" s="5" t="s">
        <v>13</v>
      </c>
    </row>
    <row r="11" customFormat="false" ht="27.75" hidden="false" customHeight="true" outlineLevel="0" collapsed="false">
      <c r="B11" s="4" t="s">
        <v>14</v>
      </c>
      <c r="C11" s="5" t="s">
        <v>15</v>
      </c>
    </row>
    <row r="12" customFormat="false" ht="27.75" hidden="false" customHeight="true" outlineLevel="0" collapsed="false">
      <c r="B12" s="4" t="s">
        <v>16</v>
      </c>
      <c r="C12" s="5" t="s">
        <v>17</v>
      </c>
    </row>
    <row r="13" customFormat="false" ht="13.5" hidden="false" customHeight="true" outlineLevel="0" collapsed="false">
      <c r="B13" s="4" t="s">
        <v>18</v>
      </c>
      <c r="C13" s="5" t="s">
        <v>19</v>
      </c>
    </row>
    <row r="14" customFormat="false" ht="13.5" hidden="false" customHeight="true" outlineLevel="0" collapsed="false">
      <c r="B14" s="4" t="s">
        <v>20</v>
      </c>
      <c r="C14" s="5" t="s">
        <v>21</v>
      </c>
    </row>
    <row r="15" customFormat="false" ht="15" hidden="false" customHeight="false" outlineLevel="0" collapsed="false">
      <c r="B15" s="3" t="s">
        <v>22</v>
      </c>
      <c r="C15" s="3"/>
    </row>
    <row r="16" customFormat="false" ht="13.5" hidden="false" customHeight="true" outlineLevel="0" collapsed="false">
      <c r="B16" s="4" t="s">
        <v>23</v>
      </c>
      <c r="C16" s="5" t="s">
        <v>24</v>
      </c>
    </row>
    <row r="17" customFormat="false" ht="27.75" hidden="false" customHeight="true" outlineLevel="0" collapsed="false">
      <c r="B17" s="4" t="s">
        <v>25</v>
      </c>
      <c r="C17" s="5" t="s">
        <v>26</v>
      </c>
    </row>
    <row r="18" customFormat="false" ht="27.75" hidden="false" customHeight="true" outlineLevel="0" collapsed="false">
      <c r="B18" s="4" t="s">
        <v>27</v>
      </c>
      <c r="C18" s="5" t="s">
        <v>28</v>
      </c>
    </row>
    <row r="19" customFormat="false" ht="15" hidden="false" customHeight="false" outlineLevel="0" collapsed="false">
      <c r="B19" s="3" t="s">
        <v>29</v>
      </c>
      <c r="C19" s="3"/>
    </row>
    <row r="20" customFormat="false" ht="27.75" hidden="false" customHeight="true" outlineLevel="0" collapsed="false">
      <c r="B20" s="4" t="s">
        <v>30</v>
      </c>
      <c r="C20" s="5" t="s">
        <v>31</v>
      </c>
    </row>
    <row r="21" customFormat="false" ht="27.75" hidden="false" customHeight="true" outlineLevel="0" collapsed="false">
      <c r="B21" s="4" t="s">
        <v>32</v>
      </c>
      <c r="C21" s="5" t="s">
        <v>33</v>
      </c>
    </row>
    <row r="22" customFormat="false" ht="27.75" hidden="false" customHeight="true" outlineLevel="0" collapsed="false">
      <c r="B22" s="4" t="s">
        <v>34</v>
      </c>
      <c r="C22" s="5" t="s">
        <v>35</v>
      </c>
    </row>
    <row r="23" customFormat="false" ht="27.75" hidden="false" customHeight="true" outlineLevel="0" collapsed="false">
      <c r="B23" s="4" t="s">
        <v>36</v>
      </c>
      <c r="C23" s="5" t="s">
        <v>37</v>
      </c>
    </row>
    <row r="24" customFormat="false" ht="15" hidden="false" customHeight="false" outlineLevel="0" collapsed="false">
      <c r="B24" s="3" t="s">
        <v>38</v>
      </c>
      <c r="C24" s="3"/>
    </row>
    <row r="25" customFormat="false" ht="27.75" hidden="false" customHeight="true" outlineLevel="0" collapsed="false">
      <c r="B25" s="4" t="s">
        <v>39</v>
      </c>
      <c r="C25" s="5" t="s">
        <v>40</v>
      </c>
    </row>
    <row r="26" customFormat="false" ht="27.75" hidden="false" customHeight="true" outlineLevel="0" collapsed="false">
      <c r="B26" s="4" t="s">
        <v>41</v>
      </c>
      <c r="C26" s="5" t="s">
        <v>42</v>
      </c>
    </row>
    <row r="27" customFormat="false" ht="13.5" hidden="false" customHeight="true" outlineLevel="0" collapsed="false">
      <c r="B27" s="4" t="s">
        <v>43</v>
      </c>
      <c r="C27" s="5" t="s">
        <v>44</v>
      </c>
    </row>
    <row r="28" customFormat="false" ht="15" hidden="false" customHeight="false" outlineLevel="0" collapsed="false">
      <c r="B28" s="3" t="s">
        <v>45</v>
      </c>
      <c r="C28" s="3"/>
    </row>
    <row r="29" customFormat="false" ht="55.5" hidden="false" customHeight="true" outlineLevel="0" collapsed="false">
      <c r="B29" s="4" t="s">
        <v>46</v>
      </c>
      <c r="C29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8"/>
  </cols>
  <sheetData>
    <row r="1" customFormat="false" ht="19.7" hidden="false" customHeight="false" outlineLevel="0" collapsed="false">
      <c r="B1" s="1" t="s">
        <v>48</v>
      </c>
    </row>
    <row r="2" customFormat="false" ht="15" hidden="false" customHeight="false" outlineLevel="0" collapsed="false">
      <c r="B2" s="2" t="s">
        <v>49</v>
      </c>
    </row>
    <row r="4" customFormat="false" ht="15" hidden="false" customHeight="false" outlineLevel="0" collapsed="false">
      <c r="B4" s="6" t="s">
        <v>50</v>
      </c>
      <c r="C4" s="7" t="s">
        <v>51</v>
      </c>
      <c r="D4" s="2" t="s">
        <v>52</v>
      </c>
    </row>
    <row r="5" customFormat="false" ht="15" hidden="false" customHeight="false" outlineLevel="0" collapsed="false">
      <c r="B5" s="8" t="s">
        <v>53</v>
      </c>
      <c r="C5" s="9" t="n">
        <f aca="false">MATCH(Instrument,Instruments!$B$6:$B$18,0)</f>
        <v>1</v>
      </c>
    </row>
    <row r="6" customFormat="false" ht="15" hidden="false" customHeight="false" outlineLevel="0" collapsed="false">
      <c r="B6" s="8" t="s">
        <v>54</v>
      </c>
      <c r="C6" s="2" t="str">
        <f aca="false">INDEX(Instruments!$Y$6:$Y$18,Inst_Row)</f>
        <v>Original project brief: USD 4.00%, SGD 0.55%, 45-day tenor, USD 250k, 5-tick spread. Spot illustrative.</v>
      </c>
    </row>
    <row r="8" customFormat="false" ht="15" hidden="false" customHeight="false" outlineLevel="0" collapsed="false">
      <c r="B8" s="3" t="s">
        <v>55</v>
      </c>
      <c r="C8" s="10" t="s">
        <v>56</v>
      </c>
      <c r="D8" s="10" t="s">
        <v>57</v>
      </c>
      <c r="E8" s="10" t="s">
        <v>58</v>
      </c>
      <c r="F8" s="10" t="s">
        <v>59</v>
      </c>
      <c r="G8" s="3" t="s">
        <v>60</v>
      </c>
    </row>
    <row r="9" customFormat="false" ht="15" hidden="false" customHeight="false" outlineLevel="0" collapsed="false">
      <c r="B9" s="11" t="s">
        <v>61</v>
      </c>
      <c r="C9" s="11"/>
      <c r="D9" s="11"/>
      <c r="E9" s="11"/>
      <c r="F9" s="11"/>
      <c r="G9" s="11"/>
    </row>
    <row r="10" customFormat="false" ht="15" hidden="false" customHeight="false" outlineLevel="0" collapsed="false">
      <c r="B10" s="8" t="s">
        <v>62</v>
      </c>
      <c r="C10" s="12" t="str">
        <f aca="false">INDEX(Instruments!$C$6:$C$18,Inst_Row)</f>
        <v>FX</v>
      </c>
      <c r="D10" s="13" t="s">
        <v>63</v>
      </c>
      <c r="E10" s="14" t="str">
        <f aca="false">C10</f>
        <v>FX</v>
      </c>
      <c r="G10" s="2" t="s">
        <v>64</v>
      </c>
    </row>
    <row r="11" customFormat="false" ht="15" hidden="false" customHeight="false" outlineLevel="0" collapsed="false">
      <c r="B11" s="8" t="s">
        <v>65</v>
      </c>
      <c r="C11" s="12" t="str">
        <f aca="false">INDEX(Instruments!$D$6:$D$18,Inst_Row)</f>
        <v>USD</v>
      </c>
      <c r="D11" s="13" t="s">
        <v>63</v>
      </c>
      <c r="E11" s="14" t="str">
        <f aca="false">C11</f>
        <v>USD</v>
      </c>
      <c r="G11" s="2" t="s">
        <v>66</v>
      </c>
    </row>
    <row r="12" customFormat="false" ht="15" hidden="false" customHeight="false" outlineLevel="0" collapsed="false">
      <c r="B12" s="8" t="s">
        <v>67</v>
      </c>
      <c r="C12" s="12" t="str">
        <f aca="false">INDEX(Instruments!$E$6:$E$18,Inst_Row)</f>
        <v>SGD</v>
      </c>
      <c r="D12" s="13" t="s">
        <v>63</v>
      </c>
      <c r="E12" s="14" t="str">
        <f aca="false">C12</f>
        <v>SGD</v>
      </c>
      <c r="G12" s="2" t="s">
        <v>68</v>
      </c>
    </row>
    <row r="13" customFormat="false" ht="15" hidden="false" customHeight="false" outlineLevel="0" collapsed="false">
      <c r="B13" s="11" t="s">
        <v>22</v>
      </c>
      <c r="C13" s="11"/>
      <c r="D13" s="11"/>
      <c r="E13" s="11"/>
      <c r="F13" s="11"/>
      <c r="G13" s="11"/>
    </row>
    <row r="14" customFormat="false" ht="15" hidden="false" customHeight="false" outlineLevel="0" collapsed="false">
      <c r="B14" s="8" t="s">
        <v>69</v>
      </c>
      <c r="C14" s="15" t="n">
        <f aca="false">INDEX(Instruments!$F$6:$F$18,Inst_Row)</f>
        <v>1.285</v>
      </c>
      <c r="D14" s="16"/>
      <c r="E14" s="17" t="n">
        <f aca="false">IF(D14="",C14,D14)</f>
        <v>1.285</v>
      </c>
      <c r="F14" s="13" t="str">
        <f aca="false">PnL_Ccy&amp;" per "&amp;Unit_Label</f>
        <v>SGD per USD</v>
      </c>
      <c r="G14" s="2" t="s">
        <v>70</v>
      </c>
    </row>
    <row r="15" customFormat="false" ht="15" hidden="false" customHeight="false" outlineLevel="0" collapsed="false">
      <c r="B15" s="8" t="str">
        <f aca="false">IF(Inst_Type="FX","Rate A: base-currency interest rate","Rate A: convenience yield")</f>
        <v>Rate A: base-currency interest rate</v>
      </c>
      <c r="C15" s="18" t="n">
        <f aca="false">INDEX(Instruments!$G$6:$G$18,Inst_Row)</f>
        <v>0.04</v>
      </c>
      <c r="D15" s="19"/>
      <c r="E15" s="20" t="n">
        <f aca="false">IF(D15="",C15,D15)</f>
        <v>0.04</v>
      </c>
      <c r="F15" s="13" t="s">
        <v>71</v>
      </c>
      <c r="G15" s="2" t="s">
        <v>72</v>
      </c>
    </row>
    <row r="16" customFormat="false" ht="15" hidden="false" customHeight="false" outlineLevel="0" collapsed="false">
      <c r="B16" s="8" t="str">
        <f aca="false">IF(Inst_Type="FX","Rate B: quote-currency interest rate","Rate B: financing + storage cost")</f>
        <v>Rate B: quote-currency interest rate</v>
      </c>
      <c r="C16" s="18" t="n">
        <f aca="false">INDEX(Instruments!$J$6:$J$18,Inst_Row)</f>
        <v>0.0055</v>
      </c>
      <c r="D16" s="19"/>
      <c r="E16" s="20" t="n">
        <f aca="false">IF(D16="",C16,D16)</f>
        <v>0.0055</v>
      </c>
      <c r="F16" s="13" t="s">
        <v>71</v>
      </c>
      <c r="G16" s="2" t="s">
        <v>73</v>
      </c>
    </row>
    <row r="17" customFormat="false" ht="15" hidden="false" customHeight="false" outlineLevel="0" collapsed="false">
      <c r="B17" s="8" t="s">
        <v>74</v>
      </c>
      <c r="C17" s="21" t="n">
        <f aca="false">INDEX(Instruments!$K$6:$K$18,Inst_Row)</f>
        <v>360</v>
      </c>
      <c r="D17" s="22"/>
      <c r="E17" s="23" t="n">
        <f aca="false">IF(D17="",C17,D17)</f>
        <v>360</v>
      </c>
      <c r="F17" s="13" t="s">
        <v>75</v>
      </c>
      <c r="G17" s="2" t="s">
        <v>76</v>
      </c>
    </row>
    <row r="18" customFormat="false" ht="15" hidden="false" customHeight="false" outlineLevel="0" collapsed="false">
      <c r="B18" s="8" t="s">
        <v>77</v>
      </c>
      <c r="C18" s="21" t="n">
        <f aca="false">INDEX(Instruments!$L$6:$L$18,Inst_Row)</f>
        <v>365</v>
      </c>
      <c r="D18" s="22"/>
      <c r="E18" s="23" t="n">
        <f aca="false">IF(D18="",C18,D18)</f>
        <v>365</v>
      </c>
      <c r="F18" s="13" t="s">
        <v>75</v>
      </c>
      <c r="G18" s="2"/>
    </row>
    <row r="19" customFormat="false" ht="15" hidden="false" customHeight="false" outlineLevel="0" collapsed="false">
      <c r="B19" s="8" t="s">
        <v>78</v>
      </c>
      <c r="C19" s="21" t="n">
        <f aca="false">INDEX(Instruments!$M$6:$M$18,Inst_Row)</f>
        <v>45</v>
      </c>
      <c r="D19" s="22"/>
      <c r="E19" s="23" t="n">
        <f aca="false">IF(D19="",C19,D19)</f>
        <v>45</v>
      </c>
      <c r="F19" s="13" t="s">
        <v>75</v>
      </c>
      <c r="G19" s="2" t="s">
        <v>79</v>
      </c>
    </row>
    <row r="20" customFormat="false" ht="15" hidden="false" customHeight="false" outlineLevel="0" collapsed="false">
      <c r="B20" s="11" t="s">
        <v>80</v>
      </c>
      <c r="C20" s="11"/>
      <c r="D20" s="11"/>
      <c r="E20" s="11"/>
      <c r="F20" s="11"/>
      <c r="G20" s="11"/>
    </row>
    <row r="21" customFormat="false" ht="15" hidden="false" customHeight="false" outlineLevel="0" collapsed="false">
      <c r="B21" s="8" t="s">
        <v>81</v>
      </c>
      <c r="C21" s="24" t="n">
        <f aca="false">INDEX(Instruments!$N$6:$N$18,Inst_Row)</f>
        <v>0.0001</v>
      </c>
      <c r="D21" s="25"/>
      <c r="E21" s="26" t="n">
        <f aca="false">IF(D21="",C21,D21)</f>
        <v>0.0001</v>
      </c>
      <c r="F21" s="13" t="str">
        <f aca="false">PnL_Ccy&amp;" per "&amp;Unit_Label</f>
        <v>SGD per USD</v>
      </c>
      <c r="G21" s="2" t="s">
        <v>82</v>
      </c>
    </row>
    <row r="22" customFormat="false" ht="15" hidden="false" customHeight="false" outlineLevel="0" collapsed="false">
      <c r="B22" s="8" t="s">
        <v>83</v>
      </c>
      <c r="C22" s="27" t="n">
        <f aca="false">INDEX(Instruments!$O$6:$O$18,Inst_Row)</f>
        <v>250000</v>
      </c>
      <c r="D22" s="28"/>
      <c r="E22" s="29" t="n">
        <f aca="false">IF(D22="",C22,D22)</f>
        <v>250000</v>
      </c>
      <c r="F22" s="13" t="str">
        <f aca="false">Unit_Label</f>
        <v>USD</v>
      </c>
      <c r="G22" s="2" t="s">
        <v>84</v>
      </c>
    </row>
    <row r="23" customFormat="false" ht="15" hidden="false" customHeight="false" outlineLevel="0" collapsed="false">
      <c r="B23" s="8" t="s">
        <v>85</v>
      </c>
      <c r="C23" s="30" t="n">
        <f aca="false">INDEX(Instruments!$P$6:$P$18,Inst_Row)</f>
        <v>5</v>
      </c>
      <c r="D23" s="31"/>
      <c r="E23" s="32" t="n">
        <f aca="false">IF(D23="",C23,D23)</f>
        <v>5</v>
      </c>
      <c r="F23" s="13" t="s">
        <v>86</v>
      </c>
      <c r="G23" s="2" t="s">
        <v>87</v>
      </c>
    </row>
    <row r="24" customFormat="false" ht="15" hidden="false" customHeight="false" outlineLevel="0" collapsed="false">
      <c r="B24" s="8" t="s">
        <v>88</v>
      </c>
      <c r="C24" s="30" t="n">
        <f aca="false">INDEX(Instruments!$Q$6:$Q$18,Inst_Row)</f>
        <v>3</v>
      </c>
      <c r="D24" s="31"/>
      <c r="E24" s="32" t="n">
        <f aca="false">IF(D24="",C24,D24)</f>
        <v>3</v>
      </c>
      <c r="F24" s="13" t="s">
        <v>86</v>
      </c>
      <c r="G24" s="2" t="s">
        <v>89</v>
      </c>
    </row>
    <row r="25" customFormat="false" ht="15" hidden="false" customHeight="false" outlineLevel="0" collapsed="false">
      <c r="B25" s="11" t="s">
        <v>90</v>
      </c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8" t="s">
        <v>91</v>
      </c>
      <c r="C26" s="27" t="n">
        <f aca="false">INDEX(Instruments!$R$6:$R$18,Inst_Row)</f>
        <v>1000000</v>
      </c>
      <c r="D26" s="28"/>
      <c r="E26" s="29" t="n">
        <f aca="false">IF(D26="",C26,D26)</f>
        <v>1000000</v>
      </c>
      <c r="F26" s="13" t="str">
        <f aca="false">Unit_Label</f>
        <v>USD</v>
      </c>
      <c r="G26" s="2" t="s">
        <v>92</v>
      </c>
    </row>
    <row r="27" customFormat="false" ht="15" hidden="false" customHeight="false" outlineLevel="0" collapsed="false">
      <c r="B27" s="8" t="s">
        <v>93</v>
      </c>
      <c r="C27" s="27" t="n">
        <f aca="false">INDEX(Instruments!$S$6:$S$18,Inst_Row)</f>
        <v>1800</v>
      </c>
      <c r="D27" s="28"/>
      <c r="E27" s="29" t="n">
        <f aca="false">IF(D27="",C27,D27)</f>
        <v>1800</v>
      </c>
      <c r="F27" s="13" t="str">
        <f aca="false">PnL_Ccy</f>
        <v>SGD</v>
      </c>
      <c r="G27" s="2" t="s">
        <v>94</v>
      </c>
    </row>
    <row r="28" customFormat="false" ht="15" hidden="false" customHeight="false" outlineLevel="0" collapsed="false">
      <c r="B28" s="8" t="s">
        <v>95</v>
      </c>
      <c r="C28" s="30" t="n">
        <f aca="false">INDEX(Instruments!$T$6:$T$18,Inst_Row)</f>
        <v>1</v>
      </c>
      <c r="D28" s="31"/>
      <c r="E28" s="32" t="n">
        <f aca="false">IF(D28="",C28,D28)</f>
        <v>1</v>
      </c>
      <c r="F28" s="13" t="s">
        <v>86</v>
      </c>
      <c r="G28" s="2" t="s">
        <v>96</v>
      </c>
    </row>
    <row r="29" customFormat="false" ht="15" hidden="false" customHeight="false" outlineLevel="0" collapsed="false">
      <c r="B29" s="8" t="s">
        <v>97</v>
      </c>
      <c r="C29" s="13" t="s">
        <v>63</v>
      </c>
      <c r="D29" s="13" t="s">
        <v>63</v>
      </c>
      <c r="E29" s="33" t="n">
        <v>0</v>
      </c>
      <c r="F29" s="13" t="s">
        <v>98</v>
      </c>
      <c r="G29" s="2" t="s">
        <v>99</v>
      </c>
    </row>
    <row r="30" customFormat="false" ht="15" hidden="false" customHeight="false" outlineLevel="0" collapsed="false">
      <c r="B30" s="8" t="s">
        <v>100</v>
      </c>
      <c r="C30" s="13" t="s">
        <v>63</v>
      </c>
      <c r="D30" s="13" t="s">
        <v>63</v>
      </c>
      <c r="E30" s="29" t="n">
        <f aca="false">Hedge_Target_Pct*Pos_Limit</f>
        <v>0</v>
      </c>
      <c r="F30" s="13" t="str">
        <f aca="false">Unit_Label</f>
        <v>USD</v>
      </c>
    </row>
    <row r="31" customFormat="false" ht="15" hidden="false" customHeight="false" outlineLevel="0" collapsed="false">
      <c r="B31" s="8" t="s">
        <v>101</v>
      </c>
      <c r="C31" s="13" t="s">
        <v>63</v>
      </c>
      <c r="D31" s="13" t="s">
        <v>63</v>
      </c>
      <c r="E31" s="22" t="n">
        <v>1</v>
      </c>
      <c r="F31" s="13" t="s">
        <v>102</v>
      </c>
      <c r="G31" s="2" t="s">
        <v>103</v>
      </c>
    </row>
    <row r="32" customFormat="false" ht="15" hidden="false" customHeight="false" outlineLevel="0" collapsed="false">
      <c r="B32" s="11" t="s">
        <v>104</v>
      </c>
      <c r="C32" s="11"/>
      <c r="D32" s="11"/>
      <c r="E32" s="11"/>
      <c r="F32" s="11"/>
      <c r="G32" s="11"/>
    </row>
    <row r="33" customFormat="false" ht="15" hidden="false" customHeight="false" outlineLevel="0" collapsed="false">
      <c r="B33" s="8" t="s">
        <v>105</v>
      </c>
      <c r="C33" s="30" t="n">
        <f aca="false">INDEX(Instruments!$U$6:$U$18,Inst_Row)</f>
        <v>3</v>
      </c>
      <c r="D33" s="31"/>
      <c r="E33" s="32" t="n">
        <f aca="false">IF(D33="",C33,D33)</f>
        <v>3</v>
      </c>
      <c r="F33" s="13" t="s">
        <v>86</v>
      </c>
      <c r="G33" s="2" t="s">
        <v>106</v>
      </c>
    </row>
    <row r="34" customFormat="false" ht="15" hidden="false" customHeight="false" outlineLevel="0" collapsed="false">
      <c r="B34" s="8" t="s">
        <v>107</v>
      </c>
      <c r="C34" s="13" t="s">
        <v>63</v>
      </c>
      <c r="D34" s="13" t="s">
        <v>63</v>
      </c>
      <c r="E34" s="28" t="n">
        <v>0</v>
      </c>
      <c r="F34" s="13" t="str">
        <f aca="false">Unit_Label</f>
        <v>USD</v>
      </c>
      <c r="G34" s="2" t="s">
        <v>108</v>
      </c>
    </row>
  </sheetData>
  <dataValidations count="2">
    <dataValidation allowBlank="false" error="Pick an instrument from the list." errorStyle="stop" errorTitle="Instrument" operator="between" showDropDown="false" showErrorMessage="true" showInputMessage="false" sqref="C4" type="list">
      <formula1>Instruments!$B$6:$B$18</formula1>
      <formula2>0</formula2>
    </dataValidation>
    <dataValidation allowBlank="false" errorStyle="stop" operator="between" showDropDown="false" showErrorMessage="false" showInputMessage="false" sqref="E3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Y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3" min="11" style="0" width="8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8"/>
    <col collapsed="false" customWidth="true" hidden="false" outlineLevel="0" max="19" min="18" style="0" width="12"/>
    <col collapsed="false" customWidth="true" hidden="false" outlineLevel="0" max="21" min="20" style="0" width="8"/>
    <col collapsed="false" customWidth="true" hidden="false" outlineLevel="0" max="22" min="22" style="0" width="13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5" min="25" style="0" width="110"/>
  </cols>
  <sheetData>
    <row r="1" customFormat="false" ht="19.7" hidden="false" customHeight="false" outlineLevel="0" collapsed="false">
      <c r="B1" s="1" t="s">
        <v>109</v>
      </c>
    </row>
    <row r="2" customFormat="false" ht="15" hidden="false" customHeight="false" outlineLevel="0" collapsed="false">
      <c r="B2" s="2" t="s">
        <v>110</v>
      </c>
    </row>
    <row r="3" customFormat="false" ht="15" hidden="false" customHeight="false" outlineLevel="0" collapsed="false">
      <c r="B3" s="2" t="s">
        <v>111</v>
      </c>
    </row>
    <row r="5" customFormat="false" ht="42" hidden="false" customHeight="true" outlineLevel="0" collapsed="false">
      <c r="B5" s="34" t="s">
        <v>112</v>
      </c>
      <c r="C5" s="34" t="s">
        <v>113</v>
      </c>
      <c r="D5" s="34" t="s">
        <v>65</v>
      </c>
      <c r="E5" s="34" t="s">
        <v>114</v>
      </c>
      <c r="F5" s="34" t="s">
        <v>115</v>
      </c>
      <c r="G5" s="34" t="s">
        <v>116</v>
      </c>
      <c r="H5" s="34" t="s">
        <v>117</v>
      </c>
      <c r="I5" s="34" t="s">
        <v>118</v>
      </c>
      <c r="J5" s="34" t="s">
        <v>119</v>
      </c>
      <c r="K5" s="34" t="s">
        <v>120</v>
      </c>
      <c r="L5" s="34" t="s">
        <v>121</v>
      </c>
      <c r="M5" s="34" t="s">
        <v>122</v>
      </c>
      <c r="N5" s="34" t="s">
        <v>81</v>
      </c>
      <c r="O5" s="34" t="s">
        <v>123</v>
      </c>
      <c r="P5" s="34" t="s">
        <v>124</v>
      </c>
      <c r="Q5" s="34" t="s">
        <v>125</v>
      </c>
      <c r="R5" s="34" t="s">
        <v>126</v>
      </c>
      <c r="S5" s="34" t="s">
        <v>127</v>
      </c>
      <c r="T5" s="34" t="s">
        <v>128</v>
      </c>
      <c r="U5" s="34" t="s">
        <v>129</v>
      </c>
      <c r="V5" s="34" t="s">
        <v>130</v>
      </c>
      <c r="W5" s="34" t="s">
        <v>131</v>
      </c>
      <c r="X5" s="34" t="s">
        <v>132</v>
      </c>
      <c r="Y5" s="35" t="s">
        <v>133</v>
      </c>
    </row>
    <row r="6" customFormat="false" ht="15" hidden="false" customHeight="false" outlineLevel="0" collapsed="false">
      <c r="B6" s="36" t="s">
        <v>51</v>
      </c>
      <c r="C6" s="37" t="s">
        <v>134</v>
      </c>
      <c r="D6" s="37" t="s">
        <v>135</v>
      </c>
      <c r="E6" s="37" t="s">
        <v>136</v>
      </c>
      <c r="F6" s="38" t="n">
        <v>1.285</v>
      </c>
      <c r="G6" s="39" t="n">
        <v>0.04</v>
      </c>
      <c r="H6" s="40" t="s">
        <v>137</v>
      </c>
      <c r="I6" s="40" t="s">
        <v>137</v>
      </c>
      <c r="J6" s="39" t="n">
        <v>0.0055</v>
      </c>
      <c r="K6" s="41" t="n">
        <v>360</v>
      </c>
      <c r="L6" s="41" t="n">
        <v>365</v>
      </c>
      <c r="M6" s="41" t="n">
        <v>45</v>
      </c>
      <c r="N6" s="42" t="n">
        <v>0.0001</v>
      </c>
      <c r="O6" s="43" t="n">
        <v>250000</v>
      </c>
      <c r="P6" s="44" t="n">
        <v>5</v>
      </c>
      <c r="Q6" s="44" t="n">
        <v>3</v>
      </c>
      <c r="R6" s="43" t="n">
        <v>1000000</v>
      </c>
      <c r="S6" s="43" t="n">
        <v>1800</v>
      </c>
      <c r="T6" s="44" t="n">
        <v>1</v>
      </c>
      <c r="U6" s="44" t="n">
        <v>3</v>
      </c>
      <c r="V6" s="45" t="n">
        <f aca="false">F6*(1+J6*M6/L6)/(1+G6*M6/K6)</f>
        <v>1.2794739657875</v>
      </c>
      <c r="W6" s="46" t="n">
        <f aca="false">(V6-F6)/N6</f>
        <v>-55.2603421249898</v>
      </c>
      <c r="X6" s="47" t="n">
        <f aca="false">(V6/F6-1)*365/M6</f>
        <v>-0.0348811498065218</v>
      </c>
      <c r="Y6" s="2" t="s">
        <v>138</v>
      </c>
    </row>
    <row r="7" customFormat="false" ht="15" hidden="false" customHeight="false" outlineLevel="0" collapsed="false">
      <c r="B7" s="36" t="s">
        <v>139</v>
      </c>
      <c r="C7" s="37" t="s">
        <v>134</v>
      </c>
      <c r="D7" s="37" t="s">
        <v>140</v>
      </c>
      <c r="E7" s="37" t="s">
        <v>135</v>
      </c>
      <c r="F7" s="38" t="n">
        <v>1.16</v>
      </c>
      <c r="G7" s="39" t="n">
        <v>0.02</v>
      </c>
      <c r="H7" s="40" t="s">
        <v>137</v>
      </c>
      <c r="I7" s="40" t="s">
        <v>137</v>
      </c>
      <c r="J7" s="39" t="n">
        <v>0.04</v>
      </c>
      <c r="K7" s="41" t="n">
        <v>360</v>
      </c>
      <c r="L7" s="41" t="n">
        <v>360</v>
      </c>
      <c r="M7" s="41" t="n">
        <v>45</v>
      </c>
      <c r="N7" s="42" t="n">
        <v>0.0001</v>
      </c>
      <c r="O7" s="43" t="n">
        <v>250000</v>
      </c>
      <c r="P7" s="44" t="n">
        <v>2</v>
      </c>
      <c r="Q7" s="44" t="n">
        <v>1</v>
      </c>
      <c r="R7" s="43" t="n">
        <v>1000000</v>
      </c>
      <c r="S7" s="43" t="n">
        <v>2400</v>
      </c>
      <c r="T7" s="44" t="n">
        <v>0.5</v>
      </c>
      <c r="U7" s="44" t="n">
        <v>4</v>
      </c>
      <c r="V7" s="45" t="n">
        <f aca="false">F7*(1+J7*M7/L7)/(1+G7*M7/K7)</f>
        <v>1.1628927680798</v>
      </c>
      <c r="W7" s="46" t="n">
        <f aca="false">(V7-F7)/N7</f>
        <v>28.9276807980032</v>
      </c>
      <c r="X7" s="47" t="n">
        <f aca="false">(V7/F7-1)*365/M7</f>
        <v>0.0202272097533939</v>
      </c>
      <c r="Y7" s="2" t="s">
        <v>141</v>
      </c>
    </row>
    <row r="8" customFormat="false" ht="15" hidden="false" customHeight="false" outlineLevel="0" collapsed="false">
      <c r="B8" s="36" t="s">
        <v>142</v>
      </c>
      <c r="C8" s="37" t="s">
        <v>134</v>
      </c>
      <c r="D8" s="37" t="s">
        <v>143</v>
      </c>
      <c r="E8" s="37" t="s">
        <v>135</v>
      </c>
      <c r="F8" s="38" t="n">
        <v>1.34</v>
      </c>
      <c r="G8" s="39" t="n">
        <v>0.04</v>
      </c>
      <c r="H8" s="40" t="s">
        <v>137</v>
      </c>
      <c r="I8" s="40" t="s">
        <v>137</v>
      </c>
      <c r="J8" s="39" t="n">
        <v>0.04</v>
      </c>
      <c r="K8" s="41" t="n">
        <v>365</v>
      </c>
      <c r="L8" s="41" t="n">
        <v>360</v>
      </c>
      <c r="M8" s="41" t="n">
        <v>45</v>
      </c>
      <c r="N8" s="42" t="n">
        <v>0.0001</v>
      </c>
      <c r="O8" s="43" t="n">
        <v>250000</v>
      </c>
      <c r="P8" s="44" t="n">
        <v>3</v>
      </c>
      <c r="Q8" s="44" t="n">
        <v>2</v>
      </c>
      <c r="R8" s="43" t="n">
        <v>1000000</v>
      </c>
      <c r="S8" s="43" t="n">
        <v>3000</v>
      </c>
      <c r="T8" s="44" t="n">
        <v>1</v>
      </c>
      <c r="U8" s="44" t="n">
        <v>5</v>
      </c>
      <c r="V8" s="45" t="n">
        <f aca="false">F8*(1+J8*M8/L8)/(1+G8*M8/K8)</f>
        <v>1.3400913304253</v>
      </c>
      <c r="W8" s="46" t="n">
        <f aca="false">(V8-F8)/N8</f>
        <v>0.913304252998515</v>
      </c>
      <c r="X8" s="47" t="n">
        <f aca="false">(V8/F8-1)*365/M8</f>
        <v>0.000552829274203538</v>
      </c>
      <c r="Y8" s="2" t="s">
        <v>144</v>
      </c>
    </row>
    <row r="9" customFormat="false" ht="15" hidden="false" customHeight="false" outlineLevel="0" collapsed="false">
      <c r="B9" s="36" t="s">
        <v>145</v>
      </c>
      <c r="C9" s="37" t="s">
        <v>134</v>
      </c>
      <c r="D9" s="37" t="s">
        <v>135</v>
      </c>
      <c r="E9" s="37" t="s">
        <v>146</v>
      </c>
      <c r="F9" s="38" t="n">
        <v>150</v>
      </c>
      <c r="G9" s="39" t="n">
        <v>0.04</v>
      </c>
      <c r="H9" s="40" t="s">
        <v>137</v>
      </c>
      <c r="I9" s="40" t="s">
        <v>137</v>
      </c>
      <c r="J9" s="39" t="n">
        <v>0.005</v>
      </c>
      <c r="K9" s="41" t="n">
        <v>360</v>
      </c>
      <c r="L9" s="41" t="n">
        <v>360</v>
      </c>
      <c r="M9" s="41" t="n">
        <v>45</v>
      </c>
      <c r="N9" s="42" t="n">
        <v>0.01</v>
      </c>
      <c r="O9" s="43" t="n">
        <v>250000</v>
      </c>
      <c r="P9" s="44" t="n">
        <v>3</v>
      </c>
      <c r="Q9" s="44" t="n">
        <v>2</v>
      </c>
      <c r="R9" s="43" t="n">
        <v>1000000</v>
      </c>
      <c r="S9" s="43" t="n">
        <v>360000</v>
      </c>
      <c r="T9" s="44" t="n">
        <v>1</v>
      </c>
      <c r="U9" s="44" t="n">
        <v>6</v>
      </c>
      <c r="V9" s="45" t="n">
        <f aca="false">F9*(1+J9*M9/L9)/(1+G9*M9/K9)</f>
        <v>149.347014925373</v>
      </c>
      <c r="W9" s="46" t="n">
        <f aca="false">(V9-F9)/N9</f>
        <v>-65.2985074626827</v>
      </c>
      <c r="X9" s="47" t="n">
        <f aca="false">(V9/F9-1)*365/M9</f>
        <v>-0.0353095632946358</v>
      </c>
      <c r="Y9" s="2" t="s">
        <v>147</v>
      </c>
    </row>
    <row r="10" customFormat="false" ht="15" hidden="false" customHeight="false" outlineLevel="0" collapsed="false">
      <c r="B10" s="36" t="s">
        <v>148</v>
      </c>
      <c r="C10" s="37" t="s">
        <v>134</v>
      </c>
      <c r="D10" s="37" t="s">
        <v>149</v>
      </c>
      <c r="E10" s="37" t="s">
        <v>135</v>
      </c>
      <c r="F10" s="38" t="n">
        <v>0.66</v>
      </c>
      <c r="G10" s="39" t="n">
        <v>0.036</v>
      </c>
      <c r="H10" s="40" t="s">
        <v>137</v>
      </c>
      <c r="I10" s="40" t="s">
        <v>137</v>
      </c>
      <c r="J10" s="39" t="n">
        <v>0.04</v>
      </c>
      <c r="K10" s="41" t="n">
        <v>365</v>
      </c>
      <c r="L10" s="41" t="n">
        <v>360</v>
      </c>
      <c r="M10" s="41" t="n">
        <v>45</v>
      </c>
      <c r="N10" s="42" t="n">
        <v>0.0001</v>
      </c>
      <c r="O10" s="43" t="n">
        <v>250000</v>
      </c>
      <c r="P10" s="44" t="n">
        <v>3</v>
      </c>
      <c r="Q10" s="44" t="n">
        <v>2</v>
      </c>
      <c r="R10" s="43" t="n">
        <v>1000000</v>
      </c>
      <c r="S10" s="43" t="n">
        <v>2400</v>
      </c>
      <c r="T10" s="44" t="n">
        <v>1</v>
      </c>
      <c r="U10" s="44" t="n">
        <v>4</v>
      </c>
      <c r="V10" s="45" t="n">
        <f aca="false">F10*(1+J10*M10/L10)/(1+G10*M10/K10)</f>
        <v>0.660369046969614</v>
      </c>
      <c r="W10" s="46" t="n">
        <f aca="false">(V10-F10)/N10</f>
        <v>3.69046969614373</v>
      </c>
      <c r="X10" s="47" t="n">
        <f aca="false">(V10/F10-1)*365/M10</f>
        <v>0.00453542572084976</v>
      </c>
      <c r="Y10" s="2" t="s">
        <v>150</v>
      </c>
    </row>
    <row r="11" customFormat="false" ht="15" hidden="false" customHeight="false" outlineLevel="0" collapsed="false">
      <c r="B11" s="36" t="s">
        <v>151</v>
      </c>
      <c r="C11" s="37" t="s">
        <v>134</v>
      </c>
      <c r="D11" s="37" t="s">
        <v>135</v>
      </c>
      <c r="E11" s="37" t="s">
        <v>152</v>
      </c>
      <c r="F11" s="38" t="n">
        <v>0.8</v>
      </c>
      <c r="G11" s="39" t="n">
        <v>0.04</v>
      </c>
      <c r="H11" s="40" t="s">
        <v>137</v>
      </c>
      <c r="I11" s="40" t="s">
        <v>137</v>
      </c>
      <c r="J11" s="39" t="n">
        <v>0.0025</v>
      </c>
      <c r="K11" s="41" t="n">
        <v>360</v>
      </c>
      <c r="L11" s="41" t="n">
        <v>360</v>
      </c>
      <c r="M11" s="41" t="n">
        <v>45</v>
      </c>
      <c r="N11" s="42" t="n">
        <v>0.0001</v>
      </c>
      <c r="O11" s="43" t="n">
        <v>250000</v>
      </c>
      <c r="P11" s="44" t="n">
        <v>3</v>
      </c>
      <c r="Q11" s="44" t="n">
        <v>2</v>
      </c>
      <c r="R11" s="43" t="n">
        <v>1000000</v>
      </c>
      <c r="S11" s="43" t="n">
        <v>2400</v>
      </c>
      <c r="T11" s="44" t="n">
        <v>1</v>
      </c>
      <c r="U11" s="44" t="n">
        <v>4</v>
      </c>
      <c r="V11" s="45" t="n">
        <f aca="false">F11*(1+J11*M11/L11)/(1+G11*M11/K11)</f>
        <v>0.796268656716418</v>
      </c>
      <c r="W11" s="46" t="n">
        <f aca="false">(V11-F11)/N11</f>
        <v>-37.3134328358204</v>
      </c>
      <c r="X11" s="47" t="n">
        <f aca="false">(V11/F11-1)*365/M11</f>
        <v>-0.0378316749585404</v>
      </c>
      <c r="Y11" s="2" t="s">
        <v>153</v>
      </c>
    </row>
    <row r="12" customFormat="false" ht="15" hidden="false" customHeight="false" outlineLevel="0" collapsed="false">
      <c r="B12" s="36" t="s">
        <v>154</v>
      </c>
      <c r="C12" s="37" t="s">
        <v>134</v>
      </c>
      <c r="D12" s="37" t="s">
        <v>135</v>
      </c>
      <c r="E12" s="37" t="s">
        <v>155</v>
      </c>
      <c r="F12" s="38" t="n">
        <v>7.15</v>
      </c>
      <c r="G12" s="39" t="n">
        <v>0.04</v>
      </c>
      <c r="H12" s="40" t="s">
        <v>137</v>
      </c>
      <c r="I12" s="40" t="s">
        <v>137</v>
      </c>
      <c r="J12" s="39" t="n">
        <v>0.018</v>
      </c>
      <c r="K12" s="41" t="n">
        <v>360</v>
      </c>
      <c r="L12" s="41" t="n">
        <v>365</v>
      </c>
      <c r="M12" s="41" t="n">
        <v>45</v>
      </c>
      <c r="N12" s="42" t="n">
        <v>0.0001</v>
      </c>
      <c r="O12" s="43" t="n">
        <v>250000</v>
      </c>
      <c r="P12" s="44" t="n">
        <v>8</v>
      </c>
      <c r="Q12" s="44" t="n">
        <v>4</v>
      </c>
      <c r="R12" s="43" t="n">
        <v>1000000</v>
      </c>
      <c r="S12" s="43" t="n">
        <v>3000</v>
      </c>
      <c r="T12" s="44" t="n">
        <v>1</v>
      </c>
      <c r="U12" s="44" t="n">
        <v>5</v>
      </c>
      <c r="V12" s="45" t="n">
        <f aca="false">F12*(1+J12*M12/L12)/(1+G12*M12/K12)</f>
        <v>7.13021604307231</v>
      </c>
      <c r="W12" s="46" t="n">
        <f aca="false">(V12-F12)/N12</f>
        <v>-197.839569276894</v>
      </c>
      <c r="X12" s="47" t="n">
        <f aca="false">(V12/F12-1)*365/M12</f>
        <v>-0.0224433388612479</v>
      </c>
      <c r="Y12" s="2" t="s">
        <v>156</v>
      </c>
    </row>
    <row r="13" customFormat="false" ht="15" hidden="false" customHeight="false" outlineLevel="0" collapsed="false">
      <c r="B13" s="36" t="s">
        <v>157</v>
      </c>
      <c r="C13" s="37" t="s">
        <v>27</v>
      </c>
      <c r="D13" s="37" t="s">
        <v>158</v>
      </c>
      <c r="E13" s="37" t="s">
        <v>135</v>
      </c>
      <c r="F13" s="38" t="n">
        <v>4000</v>
      </c>
      <c r="G13" s="39" t="n">
        <v>0.002</v>
      </c>
      <c r="H13" s="39" t="n">
        <v>0.04</v>
      </c>
      <c r="I13" s="39" t="n">
        <v>0.001</v>
      </c>
      <c r="J13" s="48" t="n">
        <f aca="false">H13+I13</f>
        <v>0.041</v>
      </c>
      <c r="K13" s="41" t="n">
        <v>365</v>
      </c>
      <c r="L13" s="41" t="n">
        <v>365</v>
      </c>
      <c r="M13" s="41" t="n">
        <v>90</v>
      </c>
      <c r="N13" s="42" t="n">
        <v>0.1</v>
      </c>
      <c r="O13" s="43" t="n">
        <v>1000</v>
      </c>
      <c r="P13" s="44" t="n">
        <v>5</v>
      </c>
      <c r="Q13" s="44" t="n">
        <v>3</v>
      </c>
      <c r="R13" s="43" t="n">
        <v>4000</v>
      </c>
      <c r="S13" s="43" t="n">
        <v>36000</v>
      </c>
      <c r="T13" s="44" t="n">
        <v>1</v>
      </c>
      <c r="U13" s="44" t="n">
        <v>15</v>
      </c>
      <c r="V13" s="45" t="n">
        <f aca="false">F13*(1+J13*M13/L13)/(1+G13*M13/K13)</f>
        <v>4038.44679336218</v>
      </c>
      <c r="W13" s="46" t="n">
        <f aca="false">(V13-F13)/N13</f>
        <v>384.467933621772</v>
      </c>
      <c r="X13" s="47" t="n">
        <f aca="false">(V13/F13-1)*365/M13</f>
        <v>0.0389807766033186</v>
      </c>
      <c r="Y13" s="2" t="s">
        <v>159</v>
      </c>
    </row>
    <row r="14" customFormat="false" ht="15" hidden="false" customHeight="false" outlineLevel="0" collapsed="false">
      <c r="B14" s="36" t="s">
        <v>160</v>
      </c>
      <c r="C14" s="37" t="s">
        <v>27</v>
      </c>
      <c r="D14" s="37" t="s">
        <v>158</v>
      </c>
      <c r="E14" s="37" t="s">
        <v>135</v>
      </c>
      <c r="F14" s="38" t="n">
        <v>45</v>
      </c>
      <c r="G14" s="39" t="n">
        <v>0.003</v>
      </c>
      <c r="H14" s="39" t="n">
        <v>0.04</v>
      </c>
      <c r="I14" s="39" t="n">
        <v>0.003</v>
      </c>
      <c r="J14" s="48" t="n">
        <f aca="false">H14+I14</f>
        <v>0.043</v>
      </c>
      <c r="K14" s="41" t="n">
        <v>365</v>
      </c>
      <c r="L14" s="41" t="n">
        <v>365</v>
      </c>
      <c r="M14" s="41" t="n">
        <v>90</v>
      </c>
      <c r="N14" s="42" t="n">
        <v>0.01</v>
      </c>
      <c r="O14" s="43" t="n">
        <v>50000</v>
      </c>
      <c r="P14" s="44" t="n">
        <v>5</v>
      </c>
      <c r="Q14" s="44" t="n">
        <v>3</v>
      </c>
      <c r="R14" s="43" t="n">
        <v>200000</v>
      </c>
      <c r="S14" s="43" t="n">
        <v>120000</v>
      </c>
      <c r="T14" s="44" t="n">
        <v>1</v>
      </c>
      <c r="U14" s="44" t="n">
        <v>10</v>
      </c>
      <c r="V14" s="45" t="n">
        <f aca="false">F14*(1+J14*M14/L14)/(1+G14*M14/K14)</f>
        <v>45.4435075423659</v>
      </c>
      <c r="W14" s="46" t="n">
        <f aca="false">(V14-F14)/N14</f>
        <v>44.3507542365907</v>
      </c>
      <c r="X14" s="47" t="n">
        <f aca="false">(V14/F14-1)*365/M14</f>
        <v>0.0399704328305079</v>
      </c>
      <c r="Y14" s="2" t="s">
        <v>161</v>
      </c>
    </row>
    <row r="15" customFormat="false" ht="15" hidden="false" customHeight="false" outlineLevel="0" collapsed="false">
      <c r="B15" s="36" t="s">
        <v>162</v>
      </c>
      <c r="C15" s="37" t="s">
        <v>27</v>
      </c>
      <c r="D15" s="37" t="s">
        <v>163</v>
      </c>
      <c r="E15" s="37" t="s">
        <v>135</v>
      </c>
      <c r="F15" s="38" t="n">
        <v>65</v>
      </c>
      <c r="G15" s="39" t="n">
        <v>0.07</v>
      </c>
      <c r="H15" s="39" t="n">
        <v>0.04</v>
      </c>
      <c r="I15" s="39" t="n">
        <v>0.02</v>
      </c>
      <c r="J15" s="48" t="n">
        <f aca="false">H15+I15</f>
        <v>0.06</v>
      </c>
      <c r="K15" s="41" t="n">
        <v>365</v>
      </c>
      <c r="L15" s="41" t="n">
        <v>365</v>
      </c>
      <c r="M15" s="41" t="n">
        <v>90</v>
      </c>
      <c r="N15" s="42" t="n">
        <v>0.01</v>
      </c>
      <c r="O15" s="43" t="n">
        <v>10000</v>
      </c>
      <c r="P15" s="44" t="n">
        <v>4</v>
      </c>
      <c r="Q15" s="44" t="n">
        <v>3</v>
      </c>
      <c r="R15" s="43" t="n">
        <v>40000</v>
      </c>
      <c r="S15" s="43" t="n">
        <v>19200</v>
      </c>
      <c r="T15" s="44" t="n">
        <v>1</v>
      </c>
      <c r="U15" s="44" t="n">
        <v>8</v>
      </c>
      <c r="V15" s="45" t="n">
        <f aca="false">F15*(1+J15*M15/L15)/(1+G15*M15/K15)</f>
        <v>64.8424454618907</v>
      </c>
      <c r="W15" s="46" t="n">
        <f aca="false">(V15-F15)/N15</f>
        <v>-15.7554538109338</v>
      </c>
      <c r="X15" s="47" t="n">
        <f aca="false">(V15/F15-1)*365/M15</f>
        <v>-0.00983032588203544</v>
      </c>
      <c r="Y15" s="2" t="s">
        <v>164</v>
      </c>
    </row>
    <row r="16" customFormat="false" ht="15" hidden="false" customHeight="false" outlineLevel="0" collapsed="false">
      <c r="B16" s="36" t="s">
        <v>165</v>
      </c>
      <c r="C16" s="37" t="s">
        <v>27</v>
      </c>
      <c r="D16" s="37" t="s">
        <v>166</v>
      </c>
      <c r="E16" s="37" t="s">
        <v>135</v>
      </c>
      <c r="F16" s="38" t="n">
        <v>10000</v>
      </c>
      <c r="G16" s="39" t="n">
        <v>0.02</v>
      </c>
      <c r="H16" s="39" t="n">
        <v>0.04</v>
      </c>
      <c r="I16" s="39" t="n">
        <v>0.01</v>
      </c>
      <c r="J16" s="48" t="n">
        <f aca="false">H16+I16</f>
        <v>0.05</v>
      </c>
      <c r="K16" s="41" t="n">
        <v>365</v>
      </c>
      <c r="L16" s="41" t="n">
        <v>365</v>
      </c>
      <c r="M16" s="41" t="n">
        <v>90</v>
      </c>
      <c r="N16" s="42" t="n">
        <v>0.5</v>
      </c>
      <c r="O16" s="43" t="n">
        <v>25</v>
      </c>
      <c r="P16" s="44" t="n">
        <v>4</v>
      </c>
      <c r="Q16" s="44" t="n">
        <v>2</v>
      </c>
      <c r="R16" s="43" t="n">
        <v>100</v>
      </c>
      <c r="S16" s="43" t="n">
        <v>3000</v>
      </c>
      <c r="T16" s="44" t="n">
        <v>1</v>
      </c>
      <c r="U16" s="44" t="n">
        <v>10</v>
      </c>
      <c r="V16" s="45" t="n">
        <f aca="false">F16*(1+J16*M16/L16)/(1+G16*M16/K16)</f>
        <v>10073.6095965104</v>
      </c>
      <c r="W16" s="46" t="n">
        <f aca="false">(V16-F16)/N16</f>
        <v>147.219193020719</v>
      </c>
      <c r="X16" s="47" t="n">
        <f aca="false">(V16/F16-1)*365/M16</f>
        <v>0.0298527808069793</v>
      </c>
      <c r="Y16" s="2" t="s">
        <v>167</v>
      </c>
    </row>
    <row r="17" customFormat="false" ht="15" hidden="false" customHeight="false" outlineLevel="0" collapsed="false">
      <c r="B17" s="36" t="s">
        <v>168</v>
      </c>
      <c r="C17" s="37" t="s">
        <v>27</v>
      </c>
      <c r="D17" s="37" t="s">
        <v>169</v>
      </c>
      <c r="E17" s="37" t="s">
        <v>135</v>
      </c>
      <c r="F17" s="38" t="n">
        <v>3.5</v>
      </c>
      <c r="G17" s="39" t="n">
        <v>0</v>
      </c>
      <c r="H17" s="39" t="n">
        <v>0.04</v>
      </c>
      <c r="I17" s="39" t="n">
        <v>0.12</v>
      </c>
      <c r="J17" s="48" t="n">
        <f aca="false">H17+I17</f>
        <v>0.16</v>
      </c>
      <c r="K17" s="41" t="n">
        <v>365</v>
      </c>
      <c r="L17" s="41" t="n">
        <v>365</v>
      </c>
      <c r="M17" s="41" t="n">
        <v>90</v>
      </c>
      <c r="N17" s="42" t="n">
        <v>0.001</v>
      </c>
      <c r="O17" s="43" t="n">
        <v>10000</v>
      </c>
      <c r="P17" s="44" t="n">
        <v>5</v>
      </c>
      <c r="Q17" s="44" t="n">
        <v>3</v>
      </c>
      <c r="R17" s="43" t="n">
        <v>40000</v>
      </c>
      <c r="S17" s="43" t="n">
        <v>2400</v>
      </c>
      <c r="T17" s="44" t="n">
        <v>1</v>
      </c>
      <c r="U17" s="44" t="n">
        <v>10</v>
      </c>
      <c r="V17" s="45" t="n">
        <f aca="false">F17*(1+J17*M17/L17)/(1+G17*M17/K17)</f>
        <v>3.63808219178082</v>
      </c>
      <c r="W17" s="46" t="n">
        <f aca="false">(V17-F17)/N17</f>
        <v>138.082191780822</v>
      </c>
      <c r="X17" s="47" t="n">
        <f aca="false">(V17/F17-1)*365/M17</f>
        <v>0.16</v>
      </c>
      <c r="Y17" s="2" t="s">
        <v>170</v>
      </c>
    </row>
    <row r="18" customFormat="false" ht="15" hidden="false" customHeight="false" outlineLevel="0" collapsed="false">
      <c r="B18" s="49" t="s">
        <v>171</v>
      </c>
      <c r="C18" s="50" t="s">
        <v>134</v>
      </c>
      <c r="D18" s="50" t="s">
        <v>135</v>
      </c>
      <c r="E18" s="50" t="s">
        <v>172</v>
      </c>
      <c r="F18" s="51" t="n">
        <v>4.2</v>
      </c>
      <c r="G18" s="52" t="n">
        <v>0.04</v>
      </c>
      <c r="H18" s="40" t="s">
        <v>137</v>
      </c>
      <c r="I18" s="40" t="s">
        <v>137</v>
      </c>
      <c r="J18" s="52" t="n">
        <v>0.03</v>
      </c>
      <c r="K18" s="53" t="n">
        <v>360</v>
      </c>
      <c r="L18" s="53" t="n">
        <v>365</v>
      </c>
      <c r="M18" s="53" t="n">
        <v>45</v>
      </c>
      <c r="N18" s="54" t="n">
        <v>0.0001</v>
      </c>
      <c r="O18" s="55" t="n">
        <v>250000</v>
      </c>
      <c r="P18" s="56" t="n">
        <v>8</v>
      </c>
      <c r="Q18" s="56" t="n">
        <v>4</v>
      </c>
      <c r="R18" s="55" t="n">
        <v>1000000</v>
      </c>
      <c r="S18" s="55" t="n">
        <v>3000</v>
      </c>
      <c r="T18" s="56" t="n">
        <v>1</v>
      </c>
      <c r="U18" s="56" t="n">
        <v>5</v>
      </c>
      <c r="V18" s="45" t="n">
        <f aca="false">F18*(1+J18*M18/L18)/(1+G18*M18/K18)</f>
        <v>4.19456143937845</v>
      </c>
      <c r="W18" s="46" t="n">
        <f aca="false">(V18-F18)/N18</f>
        <v>-54.3856062154902</v>
      </c>
      <c r="X18" s="47" t="n">
        <f aca="false">(V18/F18-1)*365/M18</f>
        <v>-0.0105030403537849</v>
      </c>
      <c r="Y18" s="2" t="s">
        <v>173</v>
      </c>
    </row>
    <row r="20" customFormat="false" ht="15" hidden="false" customHeight="false" outlineLevel="0" collapsed="false">
      <c r="B20" s="2" t="s">
        <v>174</v>
      </c>
    </row>
  </sheetData>
  <conditionalFormatting sqref="B6:X18">
    <cfRule type="expression" priority="2" aboveAverage="0" equalAverage="0" bottom="0" percent="0" rank="0" text="" dxfId="0">
      <formula>$B6=Instrument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24"/>
    <col collapsed="false" customWidth="true" hidden="false" outlineLevel="0" max="8" min="8" style="0" width="4"/>
  </cols>
  <sheetData>
    <row r="1" customFormat="false" ht="19.7" hidden="false" customHeight="false" outlineLevel="0" collapsed="false">
      <c r="B1" s="1" t="str">
        <f aca="false">"Pricing: "&amp;Instrument&amp;" ("&amp;Inst_Type&amp;")"</f>
        <v>Pricing: USD/SGD (FX)</v>
      </c>
    </row>
    <row r="2" customFormat="false" ht="15" hidden="false" customHeight="false" outlineLevel="0" collapsed="false">
      <c r="B2" s="2" t="s">
        <v>175</v>
      </c>
    </row>
    <row r="4" customFormat="false" ht="15" hidden="false" customHeight="false" outlineLevel="0" collapsed="false">
      <c r="B4" s="3" t="s">
        <v>176</v>
      </c>
      <c r="C4" s="3"/>
      <c r="D4" s="3"/>
    </row>
    <row r="5" customFormat="false" ht="15" hidden="false" customHeight="false" outlineLevel="0" collapsed="false">
      <c r="B5" s="8" t="str">
        <f aca="false">"Spot ("&amp;PnL_Ccy&amp;" per "&amp;Unit_Label&amp;")"</f>
        <v>Spot (SGD per USD)</v>
      </c>
      <c r="C5" s="57" t="n">
        <f aca="false">Spot_Init</f>
        <v>1.285</v>
      </c>
    </row>
    <row r="6" customFormat="false" ht="15" hidden="false" customHeight="false" outlineLevel="0" collapsed="false">
      <c r="B6" s="8" t="str">
        <f aca="false">IF(Inst_Type="FX","Rate-A factor  1 + r_base x d / basis","Convenience-yield factor  1 + y x d / basis")</f>
        <v>Rate-A factor  1 + r_base x d / basis</v>
      </c>
      <c r="C6" s="58" t="n">
        <f aca="false">1+Rate_A*Tenor_Days/Basis_A</f>
        <v>1.005</v>
      </c>
    </row>
    <row r="7" customFormat="false" ht="15" hidden="false" customHeight="false" outlineLevel="0" collapsed="false">
      <c r="B7" s="8" t="str">
        <f aca="false">IF(Inst_Type="FX","Rate-B factor  1 + r_quote x d / basis","Carry factor  1 + (financing + storage) x d / basis")</f>
        <v>Rate-B factor  1 + r_quote x d / basis</v>
      </c>
      <c r="C7" s="58" t="n">
        <f aca="false">1+Rate_B*Tenor_Days/Basis_B</f>
        <v>1.00067808219178</v>
      </c>
    </row>
    <row r="8" customFormat="false" ht="15" hidden="false" customHeight="false" outlineLevel="0" collapsed="false">
      <c r="B8" s="8" t="s">
        <v>177</v>
      </c>
      <c r="C8" s="17" t="n">
        <f aca="false">C5*C7/C6</f>
        <v>1.2794739657875</v>
      </c>
      <c r="D8" s="2" t="str">
        <f aca="false">IF(C8&lt;C5,"Forward at a DISCOUNT to spot"&amp;IF(Inst_Type="FX"," (base-ccy yield &gt; quote-ccy yield)"," (backwardation: yield &gt; carry)"),"Forward at a PREMIUM to spot"&amp;IF(Inst_Type="FX"," (quote-ccy yield &gt; base-ccy yield)"," (contango: carry &gt; yield)"))</f>
        <v>Forward at a DISCOUNT to spot (base-ccy yield &gt; quote-ccy yield)</v>
      </c>
    </row>
    <row r="9" customFormat="false" ht="15" hidden="false" customHeight="false" outlineLevel="0" collapsed="false">
      <c r="B9" s="8" t="s">
        <v>178</v>
      </c>
      <c r="C9" s="59" t="n">
        <f aca="false">(C8-C5)/Tick</f>
        <v>-55.2603421249898</v>
      </c>
    </row>
    <row r="10" customFormat="false" ht="15" hidden="false" customHeight="false" outlineLevel="0" collapsed="false">
      <c r="B10" s="8" t="s">
        <v>179</v>
      </c>
      <c r="C10" s="60" t="n">
        <f aca="false">(C8/C5-1)*365/Tenor_Days</f>
        <v>-0.0348811498065218</v>
      </c>
    </row>
    <row r="11" customFormat="false" ht="15" hidden="false" customHeight="false" outlineLevel="0" collapsed="false">
      <c r="B11" s="8" t="s">
        <v>180</v>
      </c>
      <c r="C11" s="60" t="n">
        <f aca="false">Rate_B-Rate_A</f>
        <v>-0.0345</v>
      </c>
    </row>
    <row r="13" customFormat="false" ht="15" hidden="false" customHeight="false" outlineLevel="0" collapsed="false">
      <c r="B13" s="3" t="s">
        <v>181</v>
      </c>
      <c r="C13" s="3"/>
      <c r="D13" s="3"/>
    </row>
    <row r="14" customFormat="false" ht="15" hidden="false" customHeight="false" outlineLevel="0" collapsed="false">
      <c r="B14" s="8" t="s">
        <v>182</v>
      </c>
      <c r="C14" s="61" t="n">
        <v>2</v>
      </c>
    </row>
    <row r="15" customFormat="false" ht="15" hidden="false" customHeight="false" outlineLevel="0" collapsed="false">
      <c r="B15" s="8" t="str">
        <f aca="false">"Current position ("&amp;Unit_Label&amp;")"</f>
        <v>Current position (USD)</v>
      </c>
      <c r="C15" s="27" t="n">
        <f aca="false">C14*Clip_Size</f>
        <v>500000</v>
      </c>
    </row>
    <row r="16" customFormat="false" ht="15" hidden="false" customHeight="false" outlineLevel="0" collapsed="false">
      <c r="B16" s="8" t="s">
        <v>183</v>
      </c>
      <c r="C16" s="62" t="n">
        <f aca="false">C15/Pos_Limit</f>
        <v>0.5</v>
      </c>
    </row>
    <row r="17" customFormat="false" ht="15" hidden="false" customHeight="false" outlineLevel="0" collapsed="false">
      <c r="B17" s="8" t="s">
        <v>184</v>
      </c>
      <c r="C17" s="63" t="n">
        <f aca="false">-MAX(-1,MIN(1,C16))*Max_Skew_Ticks</f>
        <v>-1.5</v>
      </c>
    </row>
    <row r="18" customFormat="false" ht="15" hidden="false" customHeight="false" outlineLevel="0" collapsed="false">
      <c r="B18" s="8" t="s">
        <v>185</v>
      </c>
      <c r="C18" s="17" t="n">
        <f aca="false">ROUND(C8/Tick+C17-Spread_Ticks/2,0)*Tick</f>
        <v>1.2791</v>
      </c>
    </row>
    <row r="19" customFormat="false" ht="15" hidden="false" customHeight="false" outlineLevel="0" collapsed="false">
      <c r="B19" s="8" t="s">
        <v>186</v>
      </c>
      <c r="C19" s="17" t="n">
        <f aca="false">C18+Spread_Ticks*Tick</f>
        <v>1.2796</v>
      </c>
    </row>
    <row r="20" customFormat="false" ht="15" hidden="false" customHeight="false" outlineLevel="0" collapsed="false">
      <c r="B20" s="8" t="s">
        <v>187</v>
      </c>
      <c r="C20" s="63" t="n">
        <f aca="false">(C19-C18)/Tick</f>
        <v>4.99999999999945</v>
      </c>
    </row>
    <row r="21" customFormat="false" ht="15" hidden="false" customHeight="false" outlineLevel="0" collapsed="false">
      <c r="B21" s="8" t="s">
        <v>188</v>
      </c>
      <c r="C21" s="63" t="n">
        <f aca="false">((C18+C19)/2-C8)/Tick</f>
        <v>-1.23965787500957</v>
      </c>
    </row>
    <row r="22" customFormat="false" ht="15" hidden="false" customHeight="false" outlineLevel="0" collapsed="false">
      <c r="B22" s="8" t="str">
        <f aca="false">"Quote size each side ("&amp;Unit_Label&amp;")"</f>
        <v>Quote size each side (USD)</v>
      </c>
      <c r="C22" s="27" t="n">
        <f aca="false">Clip_Size</f>
        <v>250000</v>
      </c>
    </row>
    <row r="23" customFormat="false" ht="15" hidden="false" customHeight="false" outlineLevel="0" collapsed="false">
      <c r="B23" s="8" t="s">
        <v>189</v>
      </c>
      <c r="C23" s="27" t="n">
        <f aca="false">C15-Clip_Size</f>
        <v>250000</v>
      </c>
    </row>
    <row r="24" customFormat="false" ht="15" hidden="false" customHeight="false" outlineLevel="0" collapsed="false">
      <c r="B24" s="8" t="s">
        <v>190</v>
      </c>
      <c r="C24" s="27" t="n">
        <f aca="false">C15+Clip_Size</f>
        <v>750000</v>
      </c>
    </row>
    <row r="25" customFormat="false" ht="15" hidden="false" customHeight="false" outlineLevel="0" collapsed="false">
      <c r="B25" s="8" t="s">
        <v>191</v>
      </c>
      <c r="C25" s="12" t="str">
        <f aca="false">IF(OR(ABS(C23)&gt;Pos_Limit,ABS(C24)&gt;Pos_Limit),"YES: a fill can breach the limit","No")</f>
        <v>No</v>
      </c>
    </row>
    <row r="28" customFormat="false" ht="15" hidden="false" customHeight="false" outlineLevel="0" collapsed="false">
      <c r="B28" s="3" t="s">
        <v>192</v>
      </c>
      <c r="C28" s="3"/>
      <c r="D28" s="3"/>
      <c r="E28" s="3"/>
      <c r="F28" s="3"/>
      <c r="G28" s="3"/>
    </row>
    <row r="29" customFormat="false" ht="15" hidden="false" customHeight="false" outlineLevel="0" collapsed="false">
      <c r="B29" s="64" t="s">
        <v>193</v>
      </c>
      <c r="C29" s="64" t="s">
        <v>194</v>
      </c>
      <c r="D29" s="64" t="s">
        <v>184</v>
      </c>
      <c r="E29" s="64" t="s">
        <v>195</v>
      </c>
      <c r="F29" s="64" t="s">
        <v>196</v>
      </c>
      <c r="G29" s="64" t="s">
        <v>197</v>
      </c>
    </row>
    <row r="30" customFormat="false" ht="15" hidden="false" customHeight="false" outlineLevel="0" collapsed="false">
      <c r="B30" s="65" t="n">
        <f aca="false">-6*Clip_Size</f>
        <v>-1500000</v>
      </c>
      <c r="C30" s="66" t="n">
        <f aca="false">B30/Pos_Limit</f>
        <v>-1.5</v>
      </c>
      <c r="D30" s="67" t="n">
        <f aca="false">-MAX(-1,MIN(1,C30))*Max_Skew_Ticks</f>
        <v>3</v>
      </c>
      <c r="E30" s="68" t="n">
        <f aca="false">ROUND($C$8/Tick+D30-Spread_Ticks/2,0)*Tick</f>
        <v>1.2795</v>
      </c>
      <c r="F30" s="68" t="n">
        <f aca="false">E30+Spread_Ticks*Tick</f>
        <v>1.28</v>
      </c>
      <c r="G30" s="69" t="str">
        <f aca="false">IF(ABS(B30)&gt;Pos_Limit,"BREACH: hedge","within limit")</f>
        <v>BREACH: hedge</v>
      </c>
    </row>
    <row r="31" customFormat="false" ht="15" hidden="false" customHeight="false" outlineLevel="0" collapsed="false">
      <c r="B31" s="65" t="n">
        <f aca="false">B30+Clip_Size</f>
        <v>-1250000</v>
      </c>
      <c r="C31" s="66" t="n">
        <f aca="false">B31/Pos_Limit</f>
        <v>-1.25</v>
      </c>
      <c r="D31" s="67" t="n">
        <f aca="false">-MAX(-1,MIN(1,C31))*Max_Skew_Ticks</f>
        <v>3</v>
      </c>
      <c r="E31" s="68" t="n">
        <f aca="false">ROUND($C$8/Tick+D31-Spread_Ticks/2,0)*Tick</f>
        <v>1.2795</v>
      </c>
      <c r="F31" s="68" t="n">
        <f aca="false">E31+Spread_Ticks*Tick</f>
        <v>1.28</v>
      </c>
      <c r="G31" s="69" t="str">
        <f aca="false">IF(ABS(B31)&gt;Pos_Limit,"BREACH: hedge","within limit")</f>
        <v>BREACH: hedge</v>
      </c>
    </row>
    <row r="32" customFormat="false" ht="15" hidden="false" customHeight="false" outlineLevel="0" collapsed="false">
      <c r="B32" s="65" t="n">
        <f aca="false">B31+Clip_Size</f>
        <v>-1000000</v>
      </c>
      <c r="C32" s="66" t="n">
        <f aca="false">B32/Pos_Limit</f>
        <v>-1</v>
      </c>
      <c r="D32" s="67" t="n">
        <f aca="false">-MAX(-1,MIN(1,C32))*Max_Skew_Ticks</f>
        <v>3</v>
      </c>
      <c r="E32" s="68" t="n">
        <f aca="false">ROUND($C$8/Tick+D32-Spread_Ticks/2,0)*Tick</f>
        <v>1.2795</v>
      </c>
      <c r="F32" s="68" t="n">
        <f aca="false">E32+Spread_Ticks*Tick</f>
        <v>1.28</v>
      </c>
      <c r="G32" s="69" t="str">
        <f aca="false">IF(ABS(B32)&gt;Pos_Limit,"BREACH: hedge","within limit")</f>
        <v>within limit</v>
      </c>
    </row>
    <row r="33" customFormat="false" ht="15" hidden="false" customHeight="false" outlineLevel="0" collapsed="false">
      <c r="B33" s="65" t="n">
        <f aca="false">B32+Clip_Size</f>
        <v>-750000</v>
      </c>
      <c r="C33" s="66" t="n">
        <f aca="false">B33/Pos_Limit</f>
        <v>-0.75</v>
      </c>
      <c r="D33" s="67" t="n">
        <f aca="false">-MAX(-1,MIN(1,C33))*Max_Skew_Ticks</f>
        <v>2.25</v>
      </c>
      <c r="E33" s="68" t="n">
        <f aca="false">ROUND($C$8/Tick+D33-Spread_Ticks/2,0)*Tick</f>
        <v>1.2794</v>
      </c>
      <c r="F33" s="68" t="n">
        <f aca="false">E33+Spread_Ticks*Tick</f>
        <v>1.2799</v>
      </c>
      <c r="G33" s="69" t="str">
        <f aca="false">IF(ABS(B33)&gt;Pos_Limit,"BREACH: hedge","within limit")</f>
        <v>within limit</v>
      </c>
    </row>
    <row r="34" customFormat="false" ht="15" hidden="false" customHeight="false" outlineLevel="0" collapsed="false">
      <c r="B34" s="65" t="n">
        <f aca="false">B33+Clip_Size</f>
        <v>-500000</v>
      </c>
      <c r="C34" s="66" t="n">
        <f aca="false">B34/Pos_Limit</f>
        <v>-0.5</v>
      </c>
      <c r="D34" s="67" t="n">
        <f aca="false">-MAX(-1,MIN(1,C34))*Max_Skew_Ticks</f>
        <v>1.5</v>
      </c>
      <c r="E34" s="68" t="n">
        <f aca="false">ROUND($C$8/Tick+D34-Spread_Ticks/2,0)*Tick</f>
        <v>1.2794</v>
      </c>
      <c r="F34" s="68" t="n">
        <f aca="false">E34+Spread_Ticks*Tick</f>
        <v>1.2799</v>
      </c>
      <c r="G34" s="69" t="str">
        <f aca="false">IF(ABS(B34)&gt;Pos_Limit,"BREACH: hedge","within limit")</f>
        <v>within limit</v>
      </c>
    </row>
    <row r="35" customFormat="false" ht="15" hidden="false" customHeight="false" outlineLevel="0" collapsed="false">
      <c r="B35" s="65" t="n">
        <f aca="false">B34+Clip_Size</f>
        <v>-250000</v>
      </c>
      <c r="C35" s="66" t="n">
        <f aca="false">B35/Pos_Limit</f>
        <v>-0.25</v>
      </c>
      <c r="D35" s="67" t="n">
        <f aca="false">-MAX(-1,MIN(1,C35))*Max_Skew_Ticks</f>
        <v>0.75</v>
      </c>
      <c r="E35" s="68" t="n">
        <f aca="false">ROUND($C$8/Tick+D35-Spread_Ticks/2,0)*Tick</f>
        <v>1.2793</v>
      </c>
      <c r="F35" s="68" t="n">
        <f aca="false">E35+Spread_Ticks*Tick</f>
        <v>1.2798</v>
      </c>
      <c r="G35" s="69" t="str">
        <f aca="false">IF(ABS(B35)&gt;Pos_Limit,"BREACH: hedge","within limit")</f>
        <v>within limit</v>
      </c>
    </row>
    <row r="36" customFormat="false" ht="15" hidden="false" customHeight="false" outlineLevel="0" collapsed="false">
      <c r="B36" s="65" t="n">
        <f aca="false">B35+Clip_Size</f>
        <v>0</v>
      </c>
      <c r="C36" s="66" t="n">
        <f aca="false">B36/Pos_Limit</f>
        <v>0</v>
      </c>
      <c r="D36" s="67" t="n">
        <f aca="false">-MAX(-1,MIN(1,C36))*Max_Skew_Ticks</f>
        <v>-0</v>
      </c>
      <c r="E36" s="68" t="n">
        <f aca="false">ROUND($C$8/Tick+D36-Spread_Ticks/2,0)*Tick</f>
        <v>1.2792</v>
      </c>
      <c r="F36" s="68" t="n">
        <f aca="false">E36+Spread_Ticks*Tick</f>
        <v>1.2797</v>
      </c>
      <c r="G36" s="69" t="str">
        <f aca="false">IF(ABS(B36)&gt;Pos_Limit,"BREACH: hedge","within limit")</f>
        <v>within limit</v>
      </c>
    </row>
    <row r="37" customFormat="false" ht="15" hidden="false" customHeight="false" outlineLevel="0" collapsed="false">
      <c r="B37" s="65" t="n">
        <f aca="false">B36+Clip_Size</f>
        <v>250000</v>
      </c>
      <c r="C37" s="66" t="n">
        <f aca="false">B37/Pos_Limit</f>
        <v>0.25</v>
      </c>
      <c r="D37" s="67" t="n">
        <f aca="false">-MAX(-1,MIN(1,C37))*Max_Skew_Ticks</f>
        <v>-0.75</v>
      </c>
      <c r="E37" s="68" t="n">
        <f aca="false">ROUND($C$8/Tick+D37-Spread_Ticks/2,0)*Tick</f>
        <v>1.2791</v>
      </c>
      <c r="F37" s="68" t="n">
        <f aca="false">E37+Spread_Ticks*Tick</f>
        <v>1.2796</v>
      </c>
      <c r="G37" s="69" t="str">
        <f aca="false">IF(ABS(B37)&gt;Pos_Limit,"BREACH: hedge","within limit")</f>
        <v>within limit</v>
      </c>
    </row>
    <row r="38" customFormat="false" ht="15" hidden="false" customHeight="false" outlineLevel="0" collapsed="false">
      <c r="B38" s="65" t="n">
        <f aca="false">B37+Clip_Size</f>
        <v>500000</v>
      </c>
      <c r="C38" s="66" t="n">
        <f aca="false">B38/Pos_Limit</f>
        <v>0.5</v>
      </c>
      <c r="D38" s="67" t="n">
        <f aca="false">-MAX(-1,MIN(1,C38))*Max_Skew_Ticks</f>
        <v>-1.5</v>
      </c>
      <c r="E38" s="68" t="n">
        <f aca="false">ROUND($C$8/Tick+D38-Spread_Ticks/2,0)*Tick</f>
        <v>1.2791</v>
      </c>
      <c r="F38" s="68" t="n">
        <f aca="false">E38+Spread_Ticks*Tick</f>
        <v>1.2796</v>
      </c>
      <c r="G38" s="69" t="str">
        <f aca="false">IF(ABS(B38)&gt;Pos_Limit,"BREACH: hedge","within limit")</f>
        <v>within limit</v>
      </c>
    </row>
    <row r="39" customFormat="false" ht="15" hidden="false" customHeight="false" outlineLevel="0" collapsed="false">
      <c r="B39" s="65" t="n">
        <f aca="false">B38+Clip_Size</f>
        <v>750000</v>
      </c>
      <c r="C39" s="66" t="n">
        <f aca="false">B39/Pos_Limit</f>
        <v>0.75</v>
      </c>
      <c r="D39" s="67" t="n">
        <f aca="false">-MAX(-1,MIN(1,C39))*Max_Skew_Ticks</f>
        <v>-2.25</v>
      </c>
      <c r="E39" s="68" t="n">
        <f aca="false">ROUND($C$8/Tick+D39-Spread_Ticks/2,0)*Tick</f>
        <v>1.279</v>
      </c>
      <c r="F39" s="68" t="n">
        <f aca="false">E39+Spread_Ticks*Tick</f>
        <v>1.2795</v>
      </c>
      <c r="G39" s="69" t="str">
        <f aca="false">IF(ABS(B39)&gt;Pos_Limit,"BREACH: hedge","within limit")</f>
        <v>within limit</v>
      </c>
    </row>
    <row r="40" customFormat="false" ht="15" hidden="false" customHeight="false" outlineLevel="0" collapsed="false">
      <c r="B40" s="65" t="n">
        <f aca="false">B39+Clip_Size</f>
        <v>1000000</v>
      </c>
      <c r="C40" s="66" t="n">
        <f aca="false">B40/Pos_Limit</f>
        <v>1</v>
      </c>
      <c r="D40" s="67" t="n">
        <f aca="false">-MAX(-1,MIN(1,C40))*Max_Skew_Ticks</f>
        <v>-3</v>
      </c>
      <c r="E40" s="68" t="n">
        <f aca="false">ROUND($C$8/Tick+D40-Spread_Ticks/2,0)*Tick</f>
        <v>1.2789</v>
      </c>
      <c r="F40" s="68" t="n">
        <f aca="false">E40+Spread_Ticks*Tick</f>
        <v>1.2794</v>
      </c>
      <c r="G40" s="69" t="str">
        <f aca="false">IF(ABS(B40)&gt;Pos_Limit,"BREACH: hedge","within limit")</f>
        <v>within limit</v>
      </c>
    </row>
    <row r="41" customFormat="false" ht="15" hidden="false" customHeight="false" outlineLevel="0" collapsed="false">
      <c r="B41" s="65" t="n">
        <f aca="false">B40+Clip_Size</f>
        <v>1250000</v>
      </c>
      <c r="C41" s="66" t="n">
        <f aca="false">B41/Pos_Limit</f>
        <v>1.25</v>
      </c>
      <c r="D41" s="67" t="n">
        <f aca="false">-MAX(-1,MIN(1,C41))*Max_Skew_Ticks</f>
        <v>-3</v>
      </c>
      <c r="E41" s="68" t="n">
        <f aca="false">ROUND($C$8/Tick+D41-Spread_Ticks/2,0)*Tick</f>
        <v>1.2789</v>
      </c>
      <c r="F41" s="68" t="n">
        <f aca="false">E41+Spread_Ticks*Tick</f>
        <v>1.2794</v>
      </c>
      <c r="G41" s="69" t="str">
        <f aca="false">IF(ABS(B41)&gt;Pos_Limit,"BREACH: hedge","within limit")</f>
        <v>BREACH: hedge</v>
      </c>
    </row>
    <row r="42" customFormat="false" ht="15" hidden="false" customHeight="false" outlineLevel="0" collapsed="false">
      <c r="B42" s="65" t="n">
        <f aca="false">B41+Clip_Size</f>
        <v>1500000</v>
      </c>
      <c r="C42" s="66" t="n">
        <f aca="false">B42/Pos_Limit</f>
        <v>1.5</v>
      </c>
      <c r="D42" s="67" t="n">
        <f aca="false">-MAX(-1,MIN(1,C42))*Max_Skew_Ticks</f>
        <v>-3</v>
      </c>
      <c r="E42" s="68" t="n">
        <f aca="false">ROUND($C$8/Tick+D42-Spread_Ticks/2,0)*Tick</f>
        <v>1.2789</v>
      </c>
      <c r="F42" s="68" t="n">
        <f aca="false">E42+Spread_Ticks*Tick</f>
        <v>1.2794</v>
      </c>
      <c r="G42" s="69" t="str">
        <f aca="false">IF(ABS(B42)&gt;Pos_Limit,"BREACH: hedge","within limit")</f>
        <v>BREACH: hedge</v>
      </c>
    </row>
  </sheetData>
  <conditionalFormatting sqref="B30:G42">
    <cfRule type="expression" priority="2" aboveAverage="0" equalAverage="0" bottom="0" percent="0" rank="0" text="" dxfId="1">
      <formula>ABS($B30)&gt;Pos_Limit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2" min="10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20" min="19" style="0" width="10"/>
    <col collapsed="false" customWidth="true" hidden="false" outlineLevel="0" max="21" min="21" style="0" width="16"/>
    <col collapsed="false" customWidth="true" hidden="false" outlineLevel="0" max="22" min="22" style="0" width="14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5" min="25" style="0" width="14"/>
    <col collapsed="false" customWidth="true" hidden="false" outlineLevel="0" max="26" min="26" style="0" width="12"/>
    <col collapsed="false" customWidth="true" hidden="false" outlineLevel="0" max="27" min="27" style="0" width="14"/>
    <col collapsed="false" customWidth="true" hidden="false" outlineLevel="0" max="28" min="28" style="0" width="10"/>
    <col collapsed="false" customWidth="true" hidden="false" outlineLevel="0" max="29" min="29" style="0" width="16"/>
  </cols>
  <sheetData>
    <row r="1" customFormat="false" ht="19.7" hidden="false" customHeight="false" outlineLevel="0" collapsed="false">
      <c r="A1" s="1" t="str">
        <f aca="false">"Market-Making Simulation: "&amp;Instrument&amp;" ("&amp;Inst_Type&amp;")"</f>
        <v>Market-Making Simulation: USD/SGD (FX)</v>
      </c>
    </row>
    <row r="2" customFormat="false" ht="15" hidden="false" customHeight="false" outlineLevel="0" collapsed="false">
      <c r="A2" s="2" t="s">
        <v>198</v>
      </c>
    </row>
    <row r="3" customFormat="false" ht="15" hidden="false" customHeight="false" outlineLevel="0" collapsed="false">
      <c r="A3" s="2" t="s">
        <v>199</v>
      </c>
    </row>
    <row r="4" customFormat="false" ht="15" hidden="false" customHeight="false" outlineLevel="0" collapsed="false">
      <c r="A4" s="70" t="s">
        <v>200</v>
      </c>
      <c r="B4" s="70"/>
      <c r="C4" s="70"/>
      <c r="D4" s="70" t="s">
        <v>201</v>
      </c>
      <c r="E4" s="70"/>
      <c r="F4" s="70"/>
      <c r="G4" s="70" t="s">
        <v>202</v>
      </c>
      <c r="H4" s="70"/>
      <c r="I4" s="70"/>
      <c r="J4" s="70" t="s">
        <v>203</v>
      </c>
      <c r="K4" s="70"/>
      <c r="L4" s="70"/>
      <c r="M4" s="70" t="s">
        <v>204</v>
      </c>
      <c r="N4" s="70"/>
      <c r="O4" s="70"/>
      <c r="P4" s="70"/>
      <c r="Q4" s="70" t="s">
        <v>205</v>
      </c>
      <c r="R4" s="70"/>
      <c r="S4" s="70"/>
      <c r="T4" s="70"/>
      <c r="U4" s="70" t="s">
        <v>206</v>
      </c>
      <c r="V4" s="70"/>
      <c r="W4" s="70"/>
      <c r="X4" s="70"/>
      <c r="Y4" s="70" t="s">
        <v>207</v>
      </c>
      <c r="Z4" s="70"/>
      <c r="AA4" s="70"/>
      <c r="AB4" s="70"/>
      <c r="AC4" s="70"/>
    </row>
    <row r="5" customFormat="false" ht="54" hidden="false" customHeight="true" outlineLevel="0" collapsed="false">
      <c r="A5" s="34" t="s">
        <v>208</v>
      </c>
      <c r="B5" s="34" t="s">
        <v>209</v>
      </c>
      <c r="C5" s="34" t="s">
        <v>210</v>
      </c>
      <c r="D5" s="34" t="s">
        <v>115</v>
      </c>
      <c r="E5" s="34" t="s">
        <v>130</v>
      </c>
      <c r="F5" s="34" t="s">
        <v>131</v>
      </c>
      <c r="G5" s="34" t="str">
        <f aca="false">"Opening position ("&amp;Unit_Label&amp;")"</f>
        <v>Opening position (USD)</v>
      </c>
      <c r="H5" s="34" t="s">
        <v>211</v>
      </c>
      <c r="I5" s="34" t="s">
        <v>184</v>
      </c>
      <c r="J5" s="34" t="s">
        <v>195</v>
      </c>
      <c r="K5" s="34" t="s">
        <v>196</v>
      </c>
      <c r="L5" s="34" t="s">
        <v>212</v>
      </c>
      <c r="M5" s="34" t="str">
        <f aca="false">"Client fill ("&amp;Unit_Label&amp;", + = we buy)"</f>
        <v>Client fill (USD, + = we buy)</v>
      </c>
      <c r="N5" s="34" t="s">
        <v>213</v>
      </c>
      <c r="O5" s="34" t="s">
        <v>214</v>
      </c>
      <c r="P5" s="34" t="str">
        <f aca="false">"Spread capture ("&amp;PnL_Ccy&amp;")"</f>
        <v>Spread capture (SGD)</v>
      </c>
      <c r="Q5" s="34" t="str">
        <f aca="false">"MTM on opening position ("&amp;PnL_Ccy&amp;")"</f>
        <v>MTM on opening position (SGD)</v>
      </c>
      <c r="R5" s="34" t="str">
        <f aca="false">"Cum. P&amp;L before hedge ("&amp;PnL_Ccy&amp;")"</f>
        <v>Cum. P&amp;L before hedge (SGD)</v>
      </c>
      <c r="S5" s="34" t="s">
        <v>215</v>
      </c>
      <c r="T5" s="34" t="s">
        <v>216</v>
      </c>
      <c r="U5" s="34" t="s">
        <v>217</v>
      </c>
      <c r="V5" s="34" t="str">
        <f aca="false">"Hedge qty ("&amp;Unit_Label&amp;", + = we buy)"</f>
        <v>Hedge qty (USD, + = we buy)</v>
      </c>
      <c r="W5" s="34" t="s">
        <v>218</v>
      </c>
      <c r="X5" s="34" t="str">
        <f aca="false">"Hedge cost ("&amp;PnL_Ccy&amp;")"</f>
        <v>Hedge cost (SGD)</v>
      </c>
      <c r="Y5" s="34" t="str">
        <f aca="false">"Closing position ("&amp;Unit_Label&amp;")"</f>
        <v>Closing position (USD)</v>
      </c>
      <c r="Z5" s="34" t="str">
        <f aca="false">"Step P&amp;L ("&amp;PnL_Ccy&amp;")"</f>
        <v>Step P&amp;L (SGD)</v>
      </c>
      <c r="AA5" s="34" t="str">
        <f aca="false">"Cumulative P&amp;L ("&amp;PnL_Ccy&amp;")"</f>
        <v>Cumulative P&amp;L (SGD)</v>
      </c>
      <c r="AB5" s="34" t="s">
        <v>219</v>
      </c>
      <c r="AC5" s="34" t="str">
        <f aca="false">"Closing position value ("&amp;PnL_Ccy&amp;")"</f>
        <v>Closing position value (SGD)</v>
      </c>
    </row>
    <row r="6" customFormat="false" ht="15" hidden="false" customHeight="false" outlineLevel="0" collapsed="false">
      <c r="A6" s="71" t="n">
        <v>0</v>
      </c>
      <c r="B6" s="72" t="s">
        <v>63</v>
      </c>
      <c r="C6" s="72" t="s">
        <v>63</v>
      </c>
      <c r="D6" s="73" t="n">
        <f aca="false">Spot_Init</f>
        <v>1.285</v>
      </c>
      <c r="E6" s="74" t="n">
        <f aca="false">D6*(1+Rate_B*Tenor_Days/Basis_B)/(1+Rate_A*Tenor_Days/Basis_A)</f>
        <v>1.2794739657875</v>
      </c>
      <c r="F6" s="75" t="n">
        <f aca="false">(E6-D6)/Tick</f>
        <v>-55.2603421249898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7" t="n">
        <f aca="false">Start_Pos</f>
        <v>0</v>
      </c>
      <c r="Z6" s="76"/>
      <c r="AA6" s="78" t="n">
        <v>0</v>
      </c>
      <c r="AB6" s="71" t="n">
        <v>0</v>
      </c>
      <c r="AC6" s="78" t="n">
        <f aca="false">Y6*E6</f>
        <v>0</v>
      </c>
    </row>
    <row r="7" customFormat="false" ht="15" hidden="false" customHeight="false" outlineLevel="0" collapsed="false">
      <c r="A7" s="79" t="n">
        <f aca="false">A6+1</f>
        <v>1</v>
      </c>
      <c r="B7" s="80" t="n">
        <v>1.8</v>
      </c>
      <c r="C7" s="50" t="s">
        <v>220</v>
      </c>
      <c r="D7" s="45" t="n">
        <f aca="false">D6+B7*Step_Vol_Ticks*Tick</f>
        <v>1.28554</v>
      </c>
      <c r="E7" s="45" t="n">
        <f aca="false">D7*(1+Rate_B*Tenor_Days/Basis_B)/(1+Rate_A*Tenor_Days/Basis_A)</f>
        <v>1.28001164356301</v>
      </c>
      <c r="F7" s="46" t="n">
        <f aca="false">(E7-D7)/Tick</f>
        <v>-55.2835643699301</v>
      </c>
      <c r="G7" s="81" t="n">
        <f aca="false">Y6</f>
        <v>0</v>
      </c>
      <c r="H7" s="82" t="n">
        <f aca="false">G7/Pos_Limit</f>
        <v>0</v>
      </c>
      <c r="I7" s="83" t="n">
        <f aca="false">-MAX(-1,MIN(1,H7))*Max_Skew_Ticks</f>
        <v>-0</v>
      </c>
      <c r="J7" s="45" t="n">
        <f aca="false">ROUND(E7/Tick+I7-Spread_Ticks/2,0)*Tick</f>
        <v>1.2798</v>
      </c>
      <c r="K7" s="45" t="n">
        <f aca="false">J7+Spread_Ticks*Tick</f>
        <v>1.2803</v>
      </c>
      <c r="L7" s="84" t="str">
        <f aca="false">IF(AB6=1,"HALTED","LIVE")</f>
        <v>LIVE</v>
      </c>
      <c r="M7" s="81" t="n">
        <f aca="false">IF(L7="LIVE",IF(C7="BUY",-Clip_Size,IF(C7="SELL",Clip_Size,0)),0)</f>
        <v>0</v>
      </c>
      <c r="N7" s="45" t="n">
        <f aca="false">IF(M7&lt;0,K7,IF(M7&gt;0,J7,0))</f>
        <v>0</v>
      </c>
      <c r="O7" s="81" t="n">
        <f aca="false">G7+M7</f>
        <v>0</v>
      </c>
      <c r="P7" s="85" t="n">
        <f aca="false">IF(M7&lt;0,(K7-E7)*ABS(M7),IF(M7&gt;0,(E7-J7)*M7,0))</f>
        <v>0</v>
      </c>
      <c r="Q7" s="85" t="n">
        <f aca="false">G7*(E7-E6)</f>
        <v>0</v>
      </c>
      <c r="R7" s="85" t="n">
        <f aca="false">AA6+Q7+P7</f>
        <v>0</v>
      </c>
      <c r="S7" s="86" t="n">
        <f aca="false">IF(ABS(O7)&gt;Pos_Limit,1,0)</f>
        <v>0</v>
      </c>
      <c r="T7" s="86" t="n">
        <f aca="false">IF(AND(AB6=0,R7&lt;=-Loss_Limit),1,0)</f>
        <v>0</v>
      </c>
      <c r="U7" s="84" t="str">
        <f aca="false">IF(T7=1,"LOSS LIMIT",IF(S7=1,"POSITION LIMIT",""))</f>
        <v/>
      </c>
      <c r="V7" s="81" t="n">
        <f aca="false">IF(T7=1,-O7,IF(S7=1,-(O7-SIGN(O7)*Hedge_Target),0))</f>
        <v>0</v>
      </c>
      <c r="W7" s="45" t="n">
        <f aca="false">IF(V7&gt;0,E7+Hedge_Cost_Ticks*Tick,IF(V7&lt;0,E7-Hedge_Cost_Ticks*Tick,0))</f>
        <v>0</v>
      </c>
      <c r="X7" s="85" t="n">
        <f aca="false">-ABS(V7)*Hedge_Cost_Ticks*Tick</f>
        <v>-0</v>
      </c>
      <c r="Y7" s="81" t="n">
        <f aca="false">O7+V7</f>
        <v>0</v>
      </c>
      <c r="Z7" s="85" t="n">
        <f aca="false">Q7+P7+X7</f>
        <v>0</v>
      </c>
      <c r="AA7" s="85" t="n">
        <f aca="false">AA6+Z7</f>
        <v>0</v>
      </c>
      <c r="AB7" s="79" t="n">
        <f aca="false">IF(Halt_On_Loss=1,MAX(AB6,T7),0)</f>
        <v>0</v>
      </c>
      <c r="AC7" s="85" t="n">
        <f aca="false">Y7*E7</f>
        <v>0</v>
      </c>
    </row>
    <row r="8" customFormat="false" ht="15" hidden="false" customHeight="false" outlineLevel="0" collapsed="false">
      <c r="A8" s="79" t="n">
        <f aca="false">A7+1</f>
        <v>2</v>
      </c>
      <c r="B8" s="80" t="n">
        <v>-1.3</v>
      </c>
      <c r="C8" s="50" t="s">
        <v>221</v>
      </c>
      <c r="D8" s="45" t="n">
        <f aca="false">D7+B8*Step_Vol_Ticks*Tick</f>
        <v>1.28515</v>
      </c>
      <c r="E8" s="45" t="n">
        <f aca="false">D8*(1+Rate_B*Tenor_Days/Basis_B)/(1+Rate_A*Tenor_Days/Basis_A)</f>
        <v>1.27962332072514</v>
      </c>
      <c r="F8" s="46" t="n">
        <f aca="false">(E8-D8)/Tick</f>
        <v>-55.2667927485828</v>
      </c>
      <c r="G8" s="81" t="n">
        <f aca="false">Y7</f>
        <v>0</v>
      </c>
      <c r="H8" s="82" t="n">
        <f aca="false">G8/Pos_Limit</f>
        <v>0</v>
      </c>
      <c r="I8" s="83" t="n">
        <f aca="false">-MAX(-1,MIN(1,H8))*Max_Skew_Ticks</f>
        <v>-0</v>
      </c>
      <c r="J8" s="45" t="n">
        <f aca="false">ROUND(E8/Tick+I8-Spread_Ticks/2,0)*Tick</f>
        <v>1.2794</v>
      </c>
      <c r="K8" s="45" t="n">
        <f aca="false">J8+Spread_Ticks*Tick</f>
        <v>1.2799</v>
      </c>
      <c r="L8" s="84" t="str">
        <f aca="false">IF(AB7=1,"HALTED","LIVE")</f>
        <v>LIVE</v>
      </c>
      <c r="M8" s="81" t="n">
        <f aca="false">IF(L8="LIVE",IF(C8="BUY",-Clip_Size,IF(C8="SELL",Clip_Size,0)),0)</f>
        <v>-250000</v>
      </c>
      <c r="N8" s="45" t="n">
        <f aca="false">IF(M8&lt;0,K8,IF(M8&gt;0,J8,0))</f>
        <v>1.2799</v>
      </c>
      <c r="O8" s="81" t="n">
        <f aca="false">G8+M8</f>
        <v>-250000</v>
      </c>
      <c r="P8" s="85" t="n">
        <f aca="false">IF(M8&lt;0,(K8-E8)*ABS(M8),IF(M8&gt;0,(E8-J8)*M8,0))</f>
        <v>69.1698187145762</v>
      </c>
      <c r="Q8" s="85" t="n">
        <f aca="false">G8*(E8-E7)</f>
        <v>-0</v>
      </c>
      <c r="R8" s="85" t="n">
        <f aca="false">AA7+Q8+P8</f>
        <v>69.1698187145762</v>
      </c>
      <c r="S8" s="86" t="n">
        <f aca="false">IF(ABS(O8)&gt;Pos_Limit,1,0)</f>
        <v>0</v>
      </c>
      <c r="T8" s="86" t="n">
        <f aca="false">IF(AND(AB7=0,R8&lt;=-Loss_Limit),1,0)</f>
        <v>0</v>
      </c>
      <c r="U8" s="84" t="str">
        <f aca="false">IF(T8=1,"LOSS LIMIT",IF(S8=1,"POSITION LIMIT",""))</f>
        <v/>
      </c>
      <c r="V8" s="81" t="n">
        <f aca="false">IF(T8=1,-O8,IF(S8=1,-(O8-SIGN(O8)*Hedge_Target),0))</f>
        <v>0</v>
      </c>
      <c r="W8" s="45" t="n">
        <f aca="false">IF(V8&gt;0,E8+Hedge_Cost_Ticks*Tick,IF(V8&lt;0,E8-Hedge_Cost_Ticks*Tick,0))</f>
        <v>0</v>
      </c>
      <c r="X8" s="85" t="n">
        <f aca="false">-ABS(V8)*Hedge_Cost_Ticks*Tick</f>
        <v>-0</v>
      </c>
      <c r="Y8" s="81" t="n">
        <f aca="false">O8+V8</f>
        <v>-250000</v>
      </c>
      <c r="Z8" s="85" t="n">
        <f aca="false">Q8+P8+X8</f>
        <v>69.1698187145762</v>
      </c>
      <c r="AA8" s="85" t="n">
        <f aca="false">AA7+Z8</f>
        <v>69.1698187145762</v>
      </c>
      <c r="AB8" s="79" t="n">
        <f aca="false">IF(Halt_On_Loss=1,MAX(AB7,T8),0)</f>
        <v>0</v>
      </c>
      <c r="AC8" s="85" t="n">
        <f aca="false">Y8*E8</f>
        <v>-319905.830181285</v>
      </c>
    </row>
    <row r="9" customFormat="false" ht="15" hidden="false" customHeight="false" outlineLevel="0" collapsed="false">
      <c r="A9" s="79" t="n">
        <f aca="false">A8+1</f>
        <v>3</v>
      </c>
      <c r="B9" s="80" t="n">
        <v>-0.4</v>
      </c>
      <c r="C9" s="50" t="s">
        <v>220</v>
      </c>
      <c r="D9" s="45" t="n">
        <f aca="false">D8+B9*Step_Vol_Ticks*Tick</f>
        <v>1.28503</v>
      </c>
      <c r="E9" s="45" t="n">
        <f aca="false">D9*(1+Rate_B*Tenor_Days/Basis_B)/(1+Rate_A*Tenor_Days/Basis_A)</f>
        <v>1.27950383677503</v>
      </c>
      <c r="F9" s="46" t="n">
        <f aca="false">(E9-D9)/Tick</f>
        <v>-55.2616322497079</v>
      </c>
      <c r="G9" s="81" t="n">
        <f aca="false">Y8</f>
        <v>-250000</v>
      </c>
      <c r="H9" s="82" t="n">
        <f aca="false">G9/Pos_Limit</f>
        <v>-0.25</v>
      </c>
      <c r="I9" s="83" t="n">
        <f aca="false">-MAX(-1,MIN(1,H9))*Max_Skew_Ticks</f>
        <v>0.75</v>
      </c>
      <c r="J9" s="45" t="n">
        <f aca="false">ROUND(E9/Tick+I9-Spread_Ticks/2,0)*Tick</f>
        <v>1.2793</v>
      </c>
      <c r="K9" s="45" t="n">
        <f aca="false">J9+Spread_Ticks*Tick</f>
        <v>1.2798</v>
      </c>
      <c r="L9" s="84" t="str">
        <f aca="false">IF(AB8=1,"HALTED","LIVE")</f>
        <v>LIVE</v>
      </c>
      <c r="M9" s="81" t="n">
        <f aca="false">IF(L9="LIVE",IF(C9="BUY",-Clip_Size,IF(C9="SELL",Clip_Size,0)),0)</f>
        <v>0</v>
      </c>
      <c r="N9" s="45" t="n">
        <f aca="false">IF(M9&lt;0,K9,IF(M9&gt;0,J9,0))</f>
        <v>0</v>
      </c>
      <c r="O9" s="81" t="n">
        <f aca="false">G9+M9</f>
        <v>-250000</v>
      </c>
      <c r="P9" s="85" t="n">
        <f aca="false">IF(M9&lt;0,(K9-E9)*ABS(M9),IF(M9&gt;0,(E9-J9)*M9,0))</f>
        <v>0</v>
      </c>
      <c r="Q9" s="85" t="n">
        <f aca="false">G9*(E9-E8)</f>
        <v>29.8709875281022</v>
      </c>
      <c r="R9" s="85" t="n">
        <f aca="false">AA8+Q9+P9</f>
        <v>99.0408062426784</v>
      </c>
      <c r="S9" s="86" t="n">
        <f aca="false">IF(ABS(O9)&gt;Pos_Limit,1,0)</f>
        <v>0</v>
      </c>
      <c r="T9" s="86" t="n">
        <f aca="false">IF(AND(AB8=0,R9&lt;=-Loss_Limit),1,0)</f>
        <v>0</v>
      </c>
      <c r="U9" s="84" t="str">
        <f aca="false">IF(T9=1,"LOSS LIMIT",IF(S9=1,"POSITION LIMIT",""))</f>
        <v/>
      </c>
      <c r="V9" s="81" t="n">
        <f aca="false">IF(T9=1,-O9,IF(S9=1,-(O9-SIGN(O9)*Hedge_Target),0))</f>
        <v>0</v>
      </c>
      <c r="W9" s="45" t="n">
        <f aca="false">IF(V9&gt;0,E9+Hedge_Cost_Ticks*Tick,IF(V9&lt;0,E9-Hedge_Cost_Ticks*Tick,0))</f>
        <v>0</v>
      </c>
      <c r="X9" s="85" t="n">
        <f aca="false">-ABS(V9)*Hedge_Cost_Ticks*Tick</f>
        <v>-0</v>
      </c>
      <c r="Y9" s="81" t="n">
        <f aca="false">O9+V9</f>
        <v>-250000</v>
      </c>
      <c r="Z9" s="85" t="n">
        <f aca="false">Q9+P9+X9</f>
        <v>29.8709875281022</v>
      </c>
      <c r="AA9" s="85" t="n">
        <f aca="false">AA8+Z9</f>
        <v>99.0408062426784</v>
      </c>
      <c r="AB9" s="79" t="n">
        <f aca="false">IF(Halt_On_Loss=1,MAX(AB8,T9),0)</f>
        <v>0</v>
      </c>
      <c r="AC9" s="85" t="n">
        <f aca="false">Y9*E9</f>
        <v>-319875.959193757</v>
      </c>
    </row>
    <row r="10" customFormat="false" ht="15" hidden="false" customHeight="false" outlineLevel="0" collapsed="false">
      <c r="A10" s="79" t="n">
        <f aca="false">A9+1</f>
        <v>4</v>
      </c>
      <c r="B10" s="80" t="n">
        <v>1.2</v>
      </c>
      <c r="C10" s="50" t="s">
        <v>221</v>
      </c>
      <c r="D10" s="45" t="n">
        <f aca="false">D9+B10*Step_Vol_Ticks*Tick</f>
        <v>1.28539</v>
      </c>
      <c r="E10" s="45" t="n">
        <f aca="false">D10*(1+Rate_B*Tenor_Days/Basis_B)/(1+Rate_A*Tenor_Days/Basis_A)</f>
        <v>1.27986228862537</v>
      </c>
      <c r="F10" s="46" t="n">
        <f aca="false">(E10-D10)/Tick</f>
        <v>-55.2771137463348</v>
      </c>
      <c r="G10" s="81" t="n">
        <f aca="false">Y9</f>
        <v>-250000</v>
      </c>
      <c r="H10" s="82" t="n">
        <f aca="false">G10/Pos_Limit</f>
        <v>-0.25</v>
      </c>
      <c r="I10" s="83" t="n">
        <f aca="false">-MAX(-1,MIN(1,H10))*Max_Skew_Ticks</f>
        <v>0.75</v>
      </c>
      <c r="J10" s="45" t="n">
        <f aca="false">ROUND(E10/Tick+I10-Spread_Ticks/2,0)*Tick</f>
        <v>1.2797</v>
      </c>
      <c r="K10" s="45" t="n">
        <f aca="false">J10+Spread_Ticks*Tick</f>
        <v>1.2802</v>
      </c>
      <c r="L10" s="84" t="str">
        <f aca="false">IF(AB9=1,"HALTED","LIVE")</f>
        <v>LIVE</v>
      </c>
      <c r="M10" s="81" t="n">
        <f aca="false">IF(L10="LIVE",IF(C10="BUY",-Clip_Size,IF(C10="SELL",Clip_Size,0)),0)</f>
        <v>-250000</v>
      </c>
      <c r="N10" s="45" t="n">
        <f aca="false">IF(M10&lt;0,K10,IF(M10&gt;0,J10,0))</f>
        <v>1.2802</v>
      </c>
      <c r="O10" s="81" t="n">
        <f aca="false">G10+M10</f>
        <v>-500000</v>
      </c>
      <c r="P10" s="85" t="n">
        <f aca="false">IF(M10&lt;0,(K10-E10)*ABS(M10),IF(M10&gt;0,(E10-J10)*M10,0))</f>
        <v>84.4278436583634</v>
      </c>
      <c r="Q10" s="85" t="n">
        <f aca="false">G10*(E10-E9)</f>
        <v>-89.6129625843067</v>
      </c>
      <c r="R10" s="85" t="n">
        <f aca="false">AA9+Q10+P10</f>
        <v>93.8556873167351</v>
      </c>
      <c r="S10" s="86" t="n">
        <f aca="false">IF(ABS(O10)&gt;Pos_Limit,1,0)</f>
        <v>0</v>
      </c>
      <c r="T10" s="86" t="n">
        <f aca="false">IF(AND(AB9=0,R10&lt;=-Loss_Limit),1,0)</f>
        <v>0</v>
      </c>
      <c r="U10" s="84" t="str">
        <f aca="false">IF(T10=1,"LOSS LIMIT",IF(S10=1,"POSITION LIMIT",""))</f>
        <v/>
      </c>
      <c r="V10" s="81" t="n">
        <f aca="false">IF(T10=1,-O10,IF(S10=1,-(O10-SIGN(O10)*Hedge_Target),0))</f>
        <v>0</v>
      </c>
      <c r="W10" s="45" t="n">
        <f aca="false">IF(V10&gt;0,E10+Hedge_Cost_Ticks*Tick,IF(V10&lt;0,E10-Hedge_Cost_Ticks*Tick,0))</f>
        <v>0</v>
      </c>
      <c r="X10" s="85" t="n">
        <f aca="false">-ABS(V10)*Hedge_Cost_Ticks*Tick</f>
        <v>-0</v>
      </c>
      <c r="Y10" s="81" t="n">
        <f aca="false">O10+V10</f>
        <v>-500000</v>
      </c>
      <c r="Z10" s="85" t="n">
        <f aca="false">Q10+P10+X10</f>
        <v>-5.1851189259433</v>
      </c>
      <c r="AA10" s="85" t="n">
        <f aca="false">AA9+Z10</f>
        <v>93.8556873167351</v>
      </c>
      <c r="AB10" s="79" t="n">
        <f aca="false">IF(Halt_On_Loss=1,MAX(AB9,T10),0)</f>
        <v>0</v>
      </c>
      <c r="AC10" s="85" t="n">
        <f aca="false">Y10*E10</f>
        <v>-639931.144312683</v>
      </c>
    </row>
    <row r="11" customFormat="false" ht="15" hidden="false" customHeight="false" outlineLevel="0" collapsed="false">
      <c r="A11" s="79" t="n">
        <f aca="false">A10+1</f>
        <v>5</v>
      </c>
      <c r="B11" s="80" t="n">
        <v>0.2</v>
      </c>
      <c r="C11" s="50" t="s">
        <v>222</v>
      </c>
      <c r="D11" s="45" t="n">
        <f aca="false">D10+B11*Step_Vol_Ticks*Tick</f>
        <v>1.28545</v>
      </c>
      <c r="E11" s="45" t="n">
        <f aca="false">D11*(1+Rate_B*Tenor_Days/Basis_B)/(1+Rate_A*Tenor_Days/Basis_A)</f>
        <v>1.27992203060042</v>
      </c>
      <c r="F11" s="46" t="n">
        <f aca="false">(E11-D11)/Tick</f>
        <v>-55.2796939957712</v>
      </c>
      <c r="G11" s="81" t="n">
        <f aca="false">Y10</f>
        <v>-500000</v>
      </c>
      <c r="H11" s="82" t="n">
        <f aca="false">G11/Pos_Limit</f>
        <v>-0.5</v>
      </c>
      <c r="I11" s="83" t="n">
        <f aca="false">-MAX(-1,MIN(1,H11))*Max_Skew_Ticks</f>
        <v>1.5</v>
      </c>
      <c r="J11" s="45" t="n">
        <f aca="false">ROUND(E11/Tick+I11-Spread_Ticks/2,0)*Tick</f>
        <v>1.2798</v>
      </c>
      <c r="K11" s="45" t="n">
        <f aca="false">J11+Spread_Ticks*Tick</f>
        <v>1.2803</v>
      </c>
      <c r="L11" s="84" t="str">
        <f aca="false">IF(AB10=1,"HALTED","LIVE")</f>
        <v>LIVE</v>
      </c>
      <c r="M11" s="81" t="n">
        <f aca="false">IF(L11="LIVE",IF(C11="BUY",-Clip_Size,IF(C11="SELL",Clip_Size,0)),0)</f>
        <v>250000</v>
      </c>
      <c r="N11" s="45" t="n">
        <f aca="false">IF(M11&lt;0,K11,IF(M11&gt;0,J11,0))</f>
        <v>1.2798</v>
      </c>
      <c r="O11" s="81" t="n">
        <f aca="false">G11+M11</f>
        <v>-250000</v>
      </c>
      <c r="P11" s="85" t="n">
        <f aca="false">IF(M11&lt;0,(K11-E11)*ABS(M11),IF(M11&gt;0,(E11-J11)*M11,0))</f>
        <v>30.5076501057044</v>
      </c>
      <c r="Q11" s="85" t="n">
        <f aca="false">G11*(E11-E10)</f>
        <v>-29.8709875281578</v>
      </c>
      <c r="R11" s="85" t="n">
        <f aca="false">AA10+Q11+P11</f>
        <v>94.4923498942818</v>
      </c>
      <c r="S11" s="86" t="n">
        <f aca="false">IF(ABS(O11)&gt;Pos_Limit,1,0)</f>
        <v>0</v>
      </c>
      <c r="T11" s="86" t="n">
        <f aca="false">IF(AND(AB10=0,R11&lt;=-Loss_Limit),1,0)</f>
        <v>0</v>
      </c>
      <c r="U11" s="84" t="str">
        <f aca="false">IF(T11=1,"LOSS LIMIT",IF(S11=1,"POSITION LIMIT",""))</f>
        <v/>
      </c>
      <c r="V11" s="81" t="n">
        <f aca="false">IF(T11=1,-O11,IF(S11=1,-(O11-SIGN(O11)*Hedge_Target),0))</f>
        <v>0</v>
      </c>
      <c r="W11" s="45" t="n">
        <f aca="false">IF(V11&gt;0,E11+Hedge_Cost_Ticks*Tick,IF(V11&lt;0,E11-Hedge_Cost_Ticks*Tick,0))</f>
        <v>0</v>
      </c>
      <c r="X11" s="85" t="n">
        <f aca="false">-ABS(V11)*Hedge_Cost_Ticks*Tick</f>
        <v>-0</v>
      </c>
      <c r="Y11" s="81" t="n">
        <f aca="false">O11+V11</f>
        <v>-250000</v>
      </c>
      <c r="Z11" s="85" t="n">
        <f aca="false">Q11+P11+X11</f>
        <v>0.636662577546687</v>
      </c>
      <c r="AA11" s="85" t="n">
        <f aca="false">AA10+Z11</f>
        <v>94.4923498942818</v>
      </c>
      <c r="AB11" s="79" t="n">
        <f aca="false">IF(Halt_On_Loss=1,MAX(AB10,T11),0)</f>
        <v>0</v>
      </c>
      <c r="AC11" s="85" t="n">
        <f aca="false">Y11*E11</f>
        <v>-319980.507650106</v>
      </c>
    </row>
    <row r="12" customFormat="false" ht="15" hidden="false" customHeight="false" outlineLevel="0" collapsed="false">
      <c r="A12" s="79" t="n">
        <f aca="false">A11+1</f>
        <v>6</v>
      </c>
      <c r="B12" s="80" t="n">
        <v>-0.3</v>
      </c>
      <c r="C12" s="50" t="s">
        <v>220</v>
      </c>
      <c r="D12" s="45" t="n">
        <f aca="false">D11+B12*Step_Vol_Ticks*Tick</f>
        <v>1.28536</v>
      </c>
      <c r="E12" s="45" t="n">
        <f aca="false">D12*(1+Rate_B*Tenor_Days/Basis_B)/(1+Rate_A*Tenor_Days/Basis_A)</f>
        <v>1.27983241763784</v>
      </c>
      <c r="F12" s="46" t="n">
        <f aca="false">(E12-D12)/Tick</f>
        <v>-55.2758236216166</v>
      </c>
      <c r="G12" s="81" t="n">
        <f aca="false">Y11</f>
        <v>-250000</v>
      </c>
      <c r="H12" s="82" t="n">
        <f aca="false">G12/Pos_Limit</f>
        <v>-0.25</v>
      </c>
      <c r="I12" s="83" t="n">
        <f aca="false">-MAX(-1,MIN(1,H12))*Max_Skew_Ticks</f>
        <v>0.75</v>
      </c>
      <c r="J12" s="45" t="n">
        <f aca="false">ROUND(E12/Tick+I12-Spread_Ticks/2,0)*Tick</f>
        <v>1.2797</v>
      </c>
      <c r="K12" s="45" t="n">
        <f aca="false">J12+Spread_Ticks*Tick</f>
        <v>1.2802</v>
      </c>
      <c r="L12" s="84" t="str">
        <f aca="false">IF(AB11=1,"HALTED","LIVE")</f>
        <v>LIVE</v>
      </c>
      <c r="M12" s="81" t="n">
        <f aca="false">IF(L12="LIVE",IF(C12="BUY",-Clip_Size,IF(C12="SELL",Clip_Size,0)),0)</f>
        <v>0</v>
      </c>
      <c r="N12" s="45" t="n">
        <f aca="false">IF(M12&lt;0,K12,IF(M12&gt;0,J12,0))</f>
        <v>0</v>
      </c>
      <c r="O12" s="81" t="n">
        <f aca="false">G12+M12</f>
        <v>-250000</v>
      </c>
      <c r="P12" s="85" t="n">
        <f aca="false">IF(M12&lt;0,(K12-E12)*ABS(M12),IF(M12&gt;0,(E12-J12)*M12,0))</f>
        <v>0</v>
      </c>
      <c r="Q12" s="85" t="n">
        <f aca="false">G12*(E12-E11)</f>
        <v>22.4032406461183</v>
      </c>
      <c r="R12" s="85" t="n">
        <f aca="false">AA11+Q12+P12</f>
        <v>116.8955905404</v>
      </c>
      <c r="S12" s="86" t="n">
        <f aca="false">IF(ABS(O12)&gt;Pos_Limit,1,0)</f>
        <v>0</v>
      </c>
      <c r="T12" s="86" t="n">
        <f aca="false">IF(AND(AB11=0,R12&lt;=-Loss_Limit),1,0)</f>
        <v>0</v>
      </c>
      <c r="U12" s="84" t="str">
        <f aca="false">IF(T12=1,"LOSS LIMIT",IF(S12=1,"POSITION LIMIT",""))</f>
        <v/>
      </c>
      <c r="V12" s="81" t="n">
        <f aca="false">IF(T12=1,-O12,IF(S12=1,-(O12-SIGN(O12)*Hedge_Target),0))</f>
        <v>0</v>
      </c>
      <c r="W12" s="45" t="n">
        <f aca="false">IF(V12&gt;0,E12+Hedge_Cost_Ticks*Tick,IF(V12&lt;0,E12-Hedge_Cost_Ticks*Tick,0))</f>
        <v>0</v>
      </c>
      <c r="X12" s="85" t="n">
        <f aca="false">-ABS(V12)*Hedge_Cost_Ticks*Tick</f>
        <v>-0</v>
      </c>
      <c r="Y12" s="81" t="n">
        <f aca="false">O12+V12</f>
        <v>-250000</v>
      </c>
      <c r="Z12" s="85" t="n">
        <f aca="false">Q12+P12+X12</f>
        <v>22.4032406461183</v>
      </c>
      <c r="AA12" s="85" t="n">
        <f aca="false">AA11+Z12</f>
        <v>116.8955905404</v>
      </c>
      <c r="AB12" s="79" t="n">
        <f aca="false">IF(Halt_On_Loss=1,MAX(AB11,T12),0)</f>
        <v>0</v>
      </c>
      <c r="AC12" s="85" t="n">
        <f aca="false">Y12*E12</f>
        <v>-319958.10440946</v>
      </c>
    </row>
    <row r="13" customFormat="false" ht="15" hidden="false" customHeight="false" outlineLevel="0" collapsed="false">
      <c r="A13" s="79" t="n">
        <f aca="false">A12+1</f>
        <v>7</v>
      </c>
      <c r="B13" s="80" t="n">
        <v>-0.7</v>
      </c>
      <c r="C13" s="50" t="s">
        <v>222</v>
      </c>
      <c r="D13" s="45" t="n">
        <f aca="false">D12+B13*Step_Vol_Ticks*Tick</f>
        <v>1.28515</v>
      </c>
      <c r="E13" s="45" t="n">
        <f aca="false">D13*(1+Rate_B*Tenor_Days/Basis_B)/(1+Rate_A*Tenor_Days/Basis_A)</f>
        <v>1.27962332072514</v>
      </c>
      <c r="F13" s="46" t="n">
        <f aca="false">(E13-D13)/Tick</f>
        <v>-55.2667927485828</v>
      </c>
      <c r="G13" s="81" t="n">
        <f aca="false">Y12</f>
        <v>-250000</v>
      </c>
      <c r="H13" s="82" t="n">
        <f aca="false">G13/Pos_Limit</f>
        <v>-0.25</v>
      </c>
      <c r="I13" s="83" t="n">
        <f aca="false">-MAX(-1,MIN(1,H13))*Max_Skew_Ticks</f>
        <v>0.75</v>
      </c>
      <c r="J13" s="45" t="n">
        <f aca="false">ROUND(E13/Tick+I13-Spread_Ticks/2,0)*Tick</f>
        <v>1.2794</v>
      </c>
      <c r="K13" s="45" t="n">
        <f aca="false">J13+Spread_Ticks*Tick</f>
        <v>1.2799</v>
      </c>
      <c r="L13" s="84" t="str">
        <f aca="false">IF(AB12=1,"HALTED","LIVE")</f>
        <v>LIVE</v>
      </c>
      <c r="M13" s="81" t="n">
        <f aca="false">IF(L13="LIVE",IF(C13="BUY",-Clip_Size,IF(C13="SELL",Clip_Size,0)),0)</f>
        <v>250000</v>
      </c>
      <c r="N13" s="45" t="n">
        <f aca="false">IF(M13&lt;0,K13,IF(M13&gt;0,J13,0))</f>
        <v>1.2794</v>
      </c>
      <c r="O13" s="81" t="n">
        <f aca="false">G13+M13</f>
        <v>0</v>
      </c>
      <c r="P13" s="85" t="n">
        <f aca="false">IF(M13&lt;0,(K13-E13)*ABS(M13),IF(M13&gt;0,(E13-J13)*M13,0))</f>
        <v>55.8301812854101</v>
      </c>
      <c r="Q13" s="85" t="n">
        <f aca="false">G13*(E13-E12)</f>
        <v>52.274228174165</v>
      </c>
      <c r="R13" s="85" t="n">
        <f aca="false">AA12+Q13+P13</f>
        <v>224.999999999975</v>
      </c>
      <c r="S13" s="86" t="n">
        <f aca="false">IF(ABS(O13)&gt;Pos_Limit,1,0)</f>
        <v>0</v>
      </c>
      <c r="T13" s="86" t="n">
        <f aca="false">IF(AND(AB12=0,R13&lt;=-Loss_Limit),1,0)</f>
        <v>0</v>
      </c>
      <c r="U13" s="84" t="str">
        <f aca="false">IF(T13=1,"LOSS LIMIT",IF(S13=1,"POSITION LIMIT",""))</f>
        <v/>
      </c>
      <c r="V13" s="81" t="n">
        <f aca="false">IF(T13=1,-O13,IF(S13=1,-(O13-SIGN(O13)*Hedge_Target),0))</f>
        <v>0</v>
      </c>
      <c r="W13" s="45" t="n">
        <f aca="false">IF(V13&gt;0,E13+Hedge_Cost_Ticks*Tick,IF(V13&lt;0,E13-Hedge_Cost_Ticks*Tick,0))</f>
        <v>0</v>
      </c>
      <c r="X13" s="85" t="n">
        <f aca="false">-ABS(V13)*Hedge_Cost_Ticks*Tick</f>
        <v>-0</v>
      </c>
      <c r="Y13" s="81" t="n">
        <f aca="false">O13+V13</f>
        <v>0</v>
      </c>
      <c r="Z13" s="85" t="n">
        <f aca="false">Q13+P13+X13</f>
        <v>108.104409459575</v>
      </c>
      <c r="AA13" s="85" t="n">
        <f aca="false">AA12+Z13</f>
        <v>224.999999999975</v>
      </c>
      <c r="AB13" s="79" t="n">
        <f aca="false">IF(Halt_On_Loss=1,MAX(AB12,T13),0)</f>
        <v>0</v>
      </c>
      <c r="AC13" s="85" t="n">
        <f aca="false">Y13*E13</f>
        <v>0</v>
      </c>
    </row>
    <row r="14" customFormat="false" ht="15" hidden="false" customHeight="false" outlineLevel="0" collapsed="false">
      <c r="A14" s="79" t="n">
        <f aca="false">A13+1</f>
        <v>8</v>
      </c>
      <c r="B14" s="80" t="n">
        <v>0</v>
      </c>
      <c r="C14" s="50" t="s">
        <v>221</v>
      </c>
      <c r="D14" s="45" t="n">
        <f aca="false">D13+B14*Step_Vol_Ticks*Tick</f>
        <v>1.28515</v>
      </c>
      <c r="E14" s="45" t="n">
        <f aca="false">D14*(1+Rate_B*Tenor_Days/Basis_B)/(1+Rate_A*Tenor_Days/Basis_A)</f>
        <v>1.27962332072514</v>
      </c>
      <c r="F14" s="46" t="n">
        <f aca="false">(E14-D14)/Tick</f>
        <v>-55.2667927485828</v>
      </c>
      <c r="G14" s="81" t="n">
        <f aca="false">Y13</f>
        <v>0</v>
      </c>
      <c r="H14" s="82" t="n">
        <f aca="false">G14/Pos_Limit</f>
        <v>0</v>
      </c>
      <c r="I14" s="83" t="n">
        <f aca="false">-MAX(-1,MIN(1,H14))*Max_Skew_Ticks</f>
        <v>-0</v>
      </c>
      <c r="J14" s="45" t="n">
        <f aca="false">ROUND(E14/Tick+I14-Spread_Ticks/2,0)*Tick</f>
        <v>1.2794</v>
      </c>
      <c r="K14" s="45" t="n">
        <f aca="false">J14+Spread_Ticks*Tick</f>
        <v>1.2799</v>
      </c>
      <c r="L14" s="84" t="str">
        <f aca="false">IF(AB13=1,"HALTED","LIVE")</f>
        <v>LIVE</v>
      </c>
      <c r="M14" s="81" t="n">
        <f aca="false">IF(L14="LIVE",IF(C14="BUY",-Clip_Size,IF(C14="SELL",Clip_Size,0)),0)</f>
        <v>-250000</v>
      </c>
      <c r="N14" s="45" t="n">
        <f aca="false">IF(M14&lt;0,K14,IF(M14&gt;0,J14,0))</f>
        <v>1.2799</v>
      </c>
      <c r="O14" s="81" t="n">
        <f aca="false">G14+M14</f>
        <v>-250000</v>
      </c>
      <c r="P14" s="85" t="n">
        <f aca="false">IF(M14&lt;0,(K14-E14)*ABS(M14),IF(M14&gt;0,(E14-J14)*M14,0))</f>
        <v>69.1698187145762</v>
      </c>
      <c r="Q14" s="85" t="n">
        <f aca="false">G14*(E14-E13)</f>
        <v>0</v>
      </c>
      <c r="R14" s="85" t="n">
        <f aca="false">AA13+Q14+P14</f>
        <v>294.169818714551</v>
      </c>
      <c r="S14" s="86" t="n">
        <f aca="false">IF(ABS(O14)&gt;Pos_Limit,1,0)</f>
        <v>0</v>
      </c>
      <c r="T14" s="86" t="n">
        <f aca="false">IF(AND(AB13=0,R14&lt;=-Loss_Limit),1,0)</f>
        <v>0</v>
      </c>
      <c r="U14" s="84" t="str">
        <f aca="false">IF(T14=1,"LOSS LIMIT",IF(S14=1,"POSITION LIMIT",""))</f>
        <v/>
      </c>
      <c r="V14" s="81" t="n">
        <f aca="false">IF(T14=1,-O14,IF(S14=1,-(O14-SIGN(O14)*Hedge_Target),0))</f>
        <v>0</v>
      </c>
      <c r="W14" s="45" t="n">
        <f aca="false">IF(V14&gt;0,E14+Hedge_Cost_Ticks*Tick,IF(V14&lt;0,E14-Hedge_Cost_Ticks*Tick,0))</f>
        <v>0</v>
      </c>
      <c r="X14" s="85" t="n">
        <f aca="false">-ABS(V14)*Hedge_Cost_Ticks*Tick</f>
        <v>-0</v>
      </c>
      <c r="Y14" s="81" t="n">
        <f aca="false">O14+V14</f>
        <v>-250000</v>
      </c>
      <c r="Z14" s="85" t="n">
        <f aca="false">Q14+P14+X14</f>
        <v>69.1698187145762</v>
      </c>
      <c r="AA14" s="85" t="n">
        <f aca="false">AA13+Z14</f>
        <v>294.169818714551</v>
      </c>
      <c r="AB14" s="79" t="n">
        <f aca="false">IF(Halt_On_Loss=1,MAX(AB13,T14),0)</f>
        <v>0</v>
      </c>
      <c r="AC14" s="85" t="n">
        <f aca="false">Y14*E14</f>
        <v>-319905.830181285</v>
      </c>
    </row>
    <row r="15" customFormat="false" ht="15" hidden="false" customHeight="false" outlineLevel="0" collapsed="false">
      <c r="A15" s="79" t="n">
        <f aca="false">A14+1</f>
        <v>9</v>
      </c>
      <c r="B15" s="80" t="n">
        <v>1</v>
      </c>
      <c r="C15" s="50" t="s">
        <v>222</v>
      </c>
      <c r="D15" s="45" t="n">
        <f aca="false">D14+B15*Step_Vol_Ticks*Tick</f>
        <v>1.28545</v>
      </c>
      <c r="E15" s="45" t="n">
        <f aca="false">D15*(1+Rate_B*Tenor_Days/Basis_B)/(1+Rate_A*Tenor_Days/Basis_A)</f>
        <v>1.27992203060042</v>
      </c>
      <c r="F15" s="46" t="n">
        <f aca="false">(E15-D15)/Tick</f>
        <v>-55.2796939957712</v>
      </c>
      <c r="G15" s="81" t="n">
        <f aca="false">Y14</f>
        <v>-250000</v>
      </c>
      <c r="H15" s="82" t="n">
        <f aca="false">G15/Pos_Limit</f>
        <v>-0.25</v>
      </c>
      <c r="I15" s="83" t="n">
        <f aca="false">-MAX(-1,MIN(1,H15))*Max_Skew_Ticks</f>
        <v>0.75</v>
      </c>
      <c r="J15" s="45" t="n">
        <f aca="false">ROUND(E15/Tick+I15-Spread_Ticks/2,0)*Tick</f>
        <v>1.2797</v>
      </c>
      <c r="K15" s="45" t="n">
        <f aca="false">J15+Spread_Ticks*Tick</f>
        <v>1.2802</v>
      </c>
      <c r="L15" s="84" t="str">
        <f aca="false">IF(AB14=1,"HALTED","LIVE")</f>
        <v>LIVE</v>
      </c>
      <c r="M15" s="81" t="n">
        <f aca="false">IF(L15="LIVE",IF(C15="BUY",-Clip_Size,IF(C15="SELL",Clip_Size,0)),0)</f>
        <v>250000</v>
      </c>
      <c r="N15" s="45" t="n">
        <f aca="false">IF(M15&lt;0,K15,IF(M15&gt;0,J15,0))</f>
        <v>1.2797</v>
      </c>
      <c r="O15" s="81" t="n">
        <f aca="false">G15+M15</f>
        <v>0</v>
      </c>
      <c r="P15" s="85" t="n">
        <f aca="false">IF(M15&lt;0,(K15-E15)*ABS(M15),IF(M15&gt;0,(E15-J15)*M15,0))</f>
        <v>55.5076501057017</v>
      </c>
      <c r="Q15" s="85" t="n">
        <f aca="false">G15*(E15-E14)</f>
        <v>-74.6774688202834</v>
      </c>
      <c r="R15" s="85" t="n">
        <f aca="false">AA14+Q15+P15</f>
        <v>274.99999999997</v>
      </c>
      <c r="S15" s="86" t="n">
        <f aca="false">IF(ABS(O15)&gt;Pos_Limit,1,0)</f>
        <v>0</v>
      </c>
      <c r="T15" s="86" t="n">
        <f aca="false">IF(AND(AB14=0,R15&lt;=-Loss_Limit),1,0)</f>
        <v>0</v>
      </c>
      <c r="U15" s="84" t="str">
        <f aca="false">IF(T15=1,"LOSS LIMIT",IF(S15=1,"POSITION LIMIT",""))</f>
        <v/>
      </c>
      <c r="V15" s="81" t="n">
        <f aca="false">IF(T15=1,-O15,IF(S15=1,-(O15-SIGN(O15)*Hedge_Target),0))</f>
        <v>0</v>
      </c>
      <c r="W15" s="45" t="n">
        <f aca="false">IF(V15&gt;0,E15+Hedge_Cost_Ticks*Tick,IF(V15&lt;0,E15-Hedge_Cost_Ticks*Tick,0))</f>
        <v>0</v>
      </c>
      <c r="X15" s="85" t="n">
        <f aca="false">-ABS(V15)*Hedge_Cost_Ticks*Tick</f>
        <v>-0</v>
      </c>
      <c r="Y15" s="81" t="n">
        <f aca="false">O15+V15</f>
        <v>0</v>
      </c>
      <c r="Z15" s="85" t="n">
        <f aca="false">Q15+P15+X15</f>
        <v>-19.1698187145817</v>
      </c>
      <c r="AA15" s="85" t="n">
        <f aca="false">AA14+Z15</f>
        <v>274.99999999997</v>
      </c>
      <c r="AB15" s="79" t="n">
        <f aca="false">IF(Halt_On_Loss=1,MAX(AB14,T15),0)</f>
        <v>0</v>
      </c>
      <c r="AC15" s="85" t="n">
        <f aca="false">Y15*E15</f>
        <v>0</v>
      </c>
    </row>
    <row r="16" customFormat="false" ht="15" hidden="false" customHeight="false" outlineLevel="0" collapsed="false">
      <c r="A16" s="79" t="n">
        <f aca="false">A15+1</f>
        <v>10</v>
      </c>
      <c r="B16" s="80" t="n">
        <v>0.4</v>
      </c>
      <c r="C16" s="50" t="s">
        <v>220</v>
      </c>
      <c r="D16" s="45" t="n">
        <f aca="false">D15+B16*Step_Vol_Ticks*Tick</f>
        <v>1.28557</v>
      </c>
      <c r="E16" s="45" t="n">
        <f aca="false">D16*(1+Rate_B*Tenor_Days/Basis_B)/(1+Rate_A*Tenor_Days/Basis_A)</f>
        <v>1.28004151455054</v>
      </c>
      <c r="F16" s="46" t="n">
        <f aca="false">(E16-D16)/Tick</f>
        <v>-55.2848544946483</v>
      </c>
      <c r="G16" s="81" t="n">
        <f aca="false">Y15</f>
        <v>0</v>
      </c>
      <c r="H16" s="82" t="n">
        <f aca="false">G16/Pos_Limit</f>
        <v>0</v>
      </c>
      <c r="I16" s="83" t="n">
        <f aca="false">-MAX(-1,MIN(1,H16))*Max_Skew_Ticks</f>
        <v>-0</v>
      </c>
      <c r="J16" s="45" t="n">
        <f aca="false">ROUND(E16/Tick+I16-Spread_Ticks/2,0)*Tick</f>
        <v>1.2798</v>
      </c>
      <c r="K16" s="45" t="n">
        <f aca="false">J16+Spread_Ticks*Tick</f>
        <v>1.2803</v>
      </c>
      <c r="L16" s="84" t="str">
        <f aca="false">IF(AB15=1,"HALTED","LIVE")</f>
        <v>LIVE</v>
      </c>
      <c r="M16" s="81" t="n">
        <f aca="false">IF(L16="LIVE",IF(C16="BUY",-Clip_Size,IF(C16="SELL",Clip_Size,0)),0)</f>
        <v>0</v>
      </c>
      <c r="N16" s="45" t="n">
        <f aca="false">IF(M16&lt;0,K16,IF(M16&gt;0,J16,0))</f>
        <v>0</v>
      </c>
      <c r="O16" s="81" t="n">
        <f aca="false">G16+M16</f>
        <v>0</v>
      </c>
      <c r="P16" s="85" t="n">
        <f aca="false">IF(M16&lt;0,(K16-E16)*ABS(M16),IF(M16&gt;0,(E16-J16)*M16,0))</f>
        <v>0</v>
      </c>
      <c r="Q16" s="85" t="n">
        <f aca="false">G16*(E16-E15)</f>
        <v>0</v>
      </c>
      <c r="R16" s="85" t="n">
        <f aca="false">AA15+Q16+P16</f>
        <v>274.99999999997</v>
      </c>
      <c r="S16" s="86" t="n">
        <f aca="false">IF(ABS(O16)&gt;Pos_Limit,1,0)</f>
        <v>0</v>
      </c>
      <c r="T16" s="86" t="n">
        <f aca="false">IF(AND(AB15=0,R16&lt;=-Loss_Limit),1,0)</f>
        <v>0</v>
      </c>
      <c r="U16" s="84" t="str">
        <f aca="false">IF(T16=1,"LOSS LIMIT",IF(S16=1,"POSITION LIMIT",""))</f>
        <v/>
      </c>
      <c r="V16" s="81" t="n">
        <f aca="false">IF(T16=1,-O16,IF(S16=1,-(O16-SIGN(O16)*Hedge_Target),0))</f>
        <v>0</v>
      </c>
      <c r="W16" s="45" t="n">
        <f aca="false">IF(V16&gt;0,E16+Hedge_Cost_Ticks*Tick,IF(V16&lt;0,E16-Hedge_Cost_Ticks*Tick,0))</f>
        <v>0</v>
      </c>
      <c r="X16" s="85" t="n">
        <f aca="false">-ABS(V16)*Hedge_Cost_Ticks*Tick</f>
        <v>-0</v>
      </c>
      <c r="Y16" s="81" t="n">
        <f aca="false">O16+V16</f>
        <v>0</v>
      </c>
      <c r="Z16" s="85" t="n">
        <f aca="false">Q16+P16+X16</f>
        <v>0</v>
      </c>
      <c r="AA16" s="85" t="n">
        <f aca="false">AA15+Z16</f>
        <v>274.99999999997</v>
      </c>
      <c r="AB16" s="79" t="n">
        <f aca="false">IF(Halt_On_Loss=1,MAX(AB15,T16),0)</f>
        <v>0</v>
      </c>
      <c r="AC16" s="85" t="n">
        <f aca="false">Y16*E16</f>
        <v>0</v>
      </c>
    </row>
    <row r="17" customFormat="false" ht="15" hidden="false" customHeight="false" outlineLevel="0" collapsed="false">
      <c r="A17" s="79" t="n">
        <f aca="false">A16+1</f>
        <v>11</v>
      </c>
      <c r="B17" s="80" t="n">
        <v>0.2</v>
      </c>
      <c r="C17" s="50" t="s">
        <v>220</v>
      </c>
      <c r="D17" s="45" t="n">
        <f aca="false">D16+B17*Step_Vol_Ticks*Tick</f>
        <v>1.28563</v>
      </c>
      <c r="E17" s="45" t="n">
        <f aca="false">D17*(1+Rate_B*Tenor_Days/Basis_B)/(1+Rate_A*Tenor_Days/Basis_A)</f>
        <v>1.28010125652559</v>
      </c>
      <c r="F17" s="46" t="n">
        <f aca="false">(E17-D17)/Tick</f>
        <v>-55.2874347440846</v>
      </c>
      <c r="G17" s="81" t="n">
        <f aca="false">Y16</f>
        <v>0</v>
      </c>
      <c r="H17" s="82" t="n">
        <f aca="false">G17/Pos_Limit</f>
        <v>0</v>
      </c>
      <c r="I17" s="83" t="n">
        <f aca="false">-MAX(-1,MIN(1,H17))*Max_Skew_Ticks</f>
        <v>-0</v>
      </c>
      <c r="J17" s="45" t="n">
        <f aca="false">ROUND(E17/Tick+I17-Spread_Ticks/2,0)*Tick</f>
        <v>1.2799</v>
      </c>
      <c r="K17" s="45" t="n">
        <f aca="false">J17+Spread_Ticks*Tick</f>
        <v>1.2804</v>
      </c>
      <c r="L17" s="84" t="str">
        <f aca="false">IF(AB16=1,"HALTED","LIVE")</f>
        <v>LIVE</v>
      </c>
      <c r="M17" s="81" t="n">
        <f aca="false">IF(L17="LIVE",IF(C17="BUY",-Clip_Size,IF(C17="SELL",Clip_Size,0)),0)</f>
        <v>0</v>
      </c>
      <c r="N17" s="45" t="n">
        <f aca="false">IF(M17&lt;0,K17,IF(M17&gt;0,J17,0))</f>
        <v>0</v>
      </c>
      <c r="O17" s="81" t="n">
        <f aca="false">G17+M17</f>
        <v>0</v>
      </c>
      <c r="P17" s="85" t="n">
        <f aca="false">IF(M17&lt;0,(K17-E17)*ABS(M17),IF(M17&gt;0,(E17-J17)*M17,0))</f>
        <v>0</v>
      </c>
      <c r="Q17" s="85" t="n">
        <f aca="false">G17*(E17-E16)</f>
        <v>0</v>
      </c>
      <c r="R17" s="85" t="n">
        <f aca="false">AA16+Q17+P17</f>
        <v>274.99999999997</v>
      </c>
      <c r="S17" s="86" t="n">
        <f aca="false">IF(ABS(O17)&gt;Pos_Limit,1,0)</f>
        <v>0</v>
      </c>
      <c r="T17" s="86" t="n">
        <f aca="false">IF(AND(AB16=0,R17&lt;=-Loss_Limit),1,0)</f>
        <v>0</v>
      </c>
      <c r="U17" s="84" t="str">
        <f aca="false">IF(T17=1,"LOSS LIMIT",IF(S17=1,"POSITION LIMIT",""))</f>
        <v/>
      </c>
      <c r="V17" s="81" t="n">
        <f aca="false">IF(T17=1,-O17,IF(S17=1,-(O17-SIGN(O17)*Hedge_Target),0))</f>
        <v>0</v>
      </c>
      <c r="W17" s="45" t="n">
        <f aca="false">IF(V17&gt;0,E17+Hedge_Cost_Ticks*Tick,IF(V17&lt;0,E17-Hedge_Cost_Ticks*Tick,0))</f>
        <v>0</v>
      </c>
      <c r="X17" s="85" t="n">
        <f aca="false">-ABS(V17)*Hedge_Cost_Ticks*Tick</f>
        <v>-0</v>
      </c>
      <c r="Y17" s="81" t="n">
        <f aca="false">O17+V17</f>
        <v>0</v>
      </c>
      <c r="Z17" s="85" t="n">
        <f aca="false">Q17+P17+X17</f>
        <v>0</v>
      </c>
      <c r="AA17" s="85" t="n">
        <f aca="false">AA16+Z17</f>
        <v>274.99999999997</v>
      </c>
      <c r="AB17" s="79" t="n">
        <f aca="false">IF(Halt_On_Loss=1,MAX(AB16,T17),0)</f>
        <v>0</v>
      </c>
      <c r="AC17" s="85" t="n">
        <f aca="false">Y17*E17</f>
        <v>0</v>
      </c>
    </row>
    <row r="18" customFormat="false" ht="15" hidden="false" customHeight="false" outlineLevel="0" collapsed="false">
      <c r="A18" s="79" t="n">
        <f aca="false">A17+1</f>
        <v>12</v>
      </c>
      <c r="B18" s="80" t="n">
        <v>0.3</v>
      </c>
      <c r="C18" s="50" t="s">
        <v>220</v>
      </c>
      <c r="D18" s="45" t="n">
        <f aca="false">D17+B18*Step_Vol_Ticks*Tick</f>
        <v>1.28572</v>
      </c>
      <c r="E18" s="45" t="n">
        <f aca="false">D18*(1+Rate_B*Tenor_Days/Basis_B)/(1+Rate_A*Tenor_Days/Basis_A)</f>
        <v>1.28019086948818</v>
      </c>
      <c r="F18" s="46" t="n">
        <f aca="false">(E18-D18)/Tick</f>
        <v>-55.2913051182435</v>
      </c>
      <c r="G18" s="81" t="n">
        <f aca="false">Y17</f>
        <v>0</v>
      </c>
      <c r="H18" s="82" t="n">
        <f aca="false">G18/Pos_Limit</f>
        <v>0</v>
      </c>
      <c r="I18" s="83" t="n">
        <f aca="false">-MAX(-1,MIN(1,H18))*Max_Skew_Ticks</f>
        <v>-0</v>
      </c>
      <c r="J18" s="45" t="n">
        <f aca="false">ROUND(E18/Tick+I18-Spread_Ticks/2,0)*Tick</f>
        <v>1.2799</v>
      </c>
      <c r="K18" s="45" t="n">
        <f aca="false">J18+Spread_Ticks*Tick</f>
        <v>1.2804</v>
      </c>
      <c r="L18" s="84" t="str">
        <f aca="false">IF(AB17=1,"HALTED","LIVE")</f>
        <v>LIVE</v>
      </c>
      <c r="M18" s="81" t="n">
        <f aca="false">IF(L18="LIVE",IF(C18="BUY",-Clip_Size,IF(C18="SELL",Clip_Size,0)),0)</f>
        <v>0</v>
      </c>
      <c r="N18" s="45" t="n">
        <f aca="false">IF(M18&lt;0,K18,IF(M18&gt;0,J18,0))</f>
        <v>0</v>
      </c>
      <c r="O18" s="81" t="n">
        <f aca="false">G18+M18</f>
        <v>0</v>
      </c>
      <c r="P18" s="85" t="n">
        <f aca="false">IF(M18&lt;0,(K18-E18)*ABS(M18),IF(M18&gt;0,(E18-J18)*M18,0))</f>
        <v>0</v>
      </c>
      <c r="Q18" s="85" t="n">
        <f aca="false">G18*(E18-E17)</f>
        <v>0</v>
      </c>
      <c r="R18" s="85" t="n">
        <f aca="false">AA17+Q18+P18</f>
        <v>274.99999999997</v>
      </c>
      <c r="S18" s="86" t="n">
        <f aca="false">IF(ABS(O18)&gt;Pos_Limit,1,0)</f>
        <v>0</v>
      </c>
      <c r="T18" s="86" t="n">
        <f aca="false">IF(AND(AB17=0,R18&lt;=-Loss_Limit),1,0)</f>
        <v>0</v>
      </c>
      <c r="U18" s="84" t="str">
        <f aca="false">IF(T18=1,"LOSS LIMIT",IF(S18=1,"POSITION LIMIT",""))</f>
        <v/>
      </c>
      <c r="V18" s="81" t="n">
        <f aca="false">IF(T18=1,-O18,IF(S18=1,-(O18-SIGN(O18)*Hedge_Target),0))</f>
        <v>0</v>
      </c>
      <c r="W18" s="45" t="n">
        <f aca="false">IF(V18&gt;0,E18+Hedge_Cost_Ticks*Tick,IF(V18&lt;0,E18-Hedge_Cost_Ticks*Tick,0))</f>
        <v>0</v>
      </c>
      <c r="X18" s="85" t="n">
        <f aca="false">-ABS(V18)*Hedge_Cost_Ticks*Tick</f>
        <v>-0</v>
      </c>
      <c r="Y18" s="81" t="n">
        <f aca="false">O18+V18</f>
        <v>0</v>
      </c>
      <c r="Z18" s="85" t="n">
        <f aca="false">Q18+P18+X18</f>
        <v>0</v>
      </c>
      <c r="AA18" s="85" t="n">
        <f aca="false">AA17+Z18</f>
        <v>274.99999999997</v>
      </c>
      <c r="AB18" s="79" t="n">
        <f aca="false">IF(Halt_On_Loss=1,MAX(AB17,T18),0)</f>
        <v>0</v>
      </c>
      <c r="AC18" s="85" t="n">
        <f aca="false">Y18*E18</f>
        <v>0</v>
      </c>
    </row>
    <row r="19" customFormat="false" ht="15" hidden="false" customHeight="false" outlineLevel="0" collapsed="false">
      <c r="A19" s="79" t="n">
        <f aca="false">A18+1</f>
        <v>13</v>
      </c>
      <c r="B19" s="80" t="n">
        <v>0.2</v>
      </c>
      <c r="C19" s="50" t="s">
        <v>222</v>
      </c>
      <c r="D19" s="45" t="n">
        <f aca="false">D18+B19*Step_Vol_Ticks*Tick</f>
        <v>1.28578</v>
      </c>
      <c r="E19" s="45" t="n">
        <f aca="false">D19*(1+Rate_B*Tenor_Days/Basis_B)/(1+Rate_A*Tenor_Days/Basis_A)</f>
        <v>1.28025061146323</v>
      </c>
      <c r="F19" s="46" t="n">
        <f aca="false">(E19-D19)/Tick</f>
        <v>-55.2938853676799</v>
      </c>
      <c r="G19" s="81" t="n">
        <f aca="false">Y18</f>
        <v>0</v>
      </c>
      <c r="H19" s="82" t="n">
        <f aca="false">G19/Pos_Limit</f>
        <v>0</v>
      </c>
      <c r="I19" s="83" t="n">
        <f aca="false">-MAX(-1,MIN(1,H19))*Max_Skew_Ticks</f>
        <v>-0</v>
      </c>
      <c r="J19" s="45" t="n">
        <f aca="false">ROUND(E19/Tick+I19-Spread_Ticks/2,0)*Tick</f>
        <v>1.28</v>
      </c>
      <c r="K19" s="45" t="n">
        <f aca="false">J19+Spread_Ticks*Tick</f>
        <v>1.2805</v>
      </c>
      <c r="L19" s="84" t="str">
        <f aca="false">IF(AB18=1,"HALTED","LIVE")</f>
        <v>LIVE</v>
      </c>
      <c r="M19" s="81" t="n">
        <f aca="false">IF(L19="LIVE",IF(C19="BUY",-Clip_Size,IF(C19="SELL",Clip_Size,0)),0)</f>
        <v>250000</v>
      </c>
      <c r="N19" s="45" t="n">
        <f aca="false">IF(M19&lt;0,K19,IF(M19&gt;0,J19,0))</f>
        <v>1.28</v>
      </c>
      <c r="O19" s="81" t="n">
        <f aca="false">G19+M19</f>
        <v>250000</v>
      </c>
      <c r="P19" s="85" t="n">
        <f aca="false">IF(M19&lt;0,(K19-E19)*ABS(M19),IF(M19&gt;0,(E19-J19)*M19,0))</f>
        <v>62.6528658079217</v>
      </c>
      <c r="Q19" s="85" t="n">
        <f aca="false">G19*(E19-E18)</f>
        <v>0</v>
      </c>
      <c r="R19" s="85" t="n">
        <f aca="false">AA18+Q19+P19</f>
        <v>337.652865807892</v>
      </c>
      <c r="S19" s="86" t="n">
        <f aca="false">IF(ABS(O19)&gt;Pos_Limit,1,0)</f>
        <v>0</v>
      </c>
      <c r="T19" s="86" t="n">
        <f aca="false">IF(AND(AB18=0,R19&lt;=-Loss_Limit),1,0)</f>
        <v>0</v>
      </c>
      <c r="U19" s="84" t="str">
        <f aca="false">IF(T19=1,"LOSS LIMIT",IF(S19=1,"POSITION LIMIT",""))</f>
        <v/>
      </c>
      <c r="V19" s="81" t="n">
        <f aca="false">IF(T19=1,-O19,IF(S19=1,-(O19-SIGN(O19)*Hedge_Target),0))</f>
        <v>0</v>
      </c>
      <c r="W19" s="45" t="n">
        <f aca="false">IF(V19&gt;0,E19+Hedge_Cost_Ticks*Tick,IF(V19&lt;0,E19-Hedge_Cost_Ticks*Tick,0))</f>
        <v>0</v>
      </c>
      <c r="X19" s="85" t="n">
        <f aca="false">-ABS(V19)*Hedge_Cost_Ticks*Tick</f>
        <v>-0</v>
      </c>
      <c r="Y19" s="81" t="n">
        <f aca="false">O19+V19</f>
        <v>250000</v>
      </c>
      <c r="Z19" s="85" t="n">
        <f aca="false">Q19+P19+X19</f>
        <v>62.6528658079217</v>
      </c>
      <c r="AA19" s="85" t="n">
        <f aca="false">AA18+Z19</f>
        <v>337.652865807892</v>
      </c>
      <c r="AB19" s="79" t="n">
        <f aca="false">IF(Halt_On_Loss=1,MAX(AB18,T19),0)</f>
        <v>0</v>
      </c>
      <c r="AC19" s="85" t="n">
        <f aca="false">Y19*E19</f>
        <v>320062.652865808</v>
      </c>
    </row>
    <row r="20" customFormat="false" ht="15" hidden="false" customHeight="false" outlineLevel="0" collapsed="false">
      <c r="A20" s="79" t="n">
        <f aca="false">A19+1</f>
        <v>14</v>
      </c>
      <c r="B20" s="80" t="n">
        <v>-1.1</v>
      </c>
      <c r="C20" s="50" t="s">
        <v>220</v>
      </c>
      <c r="D20" s="45" t="n">
        <f aca="false">D19+B20*Step_Vol_Ticks*Tick</f>
        <v>1.28545</v>
      </c>
      <c r="E20" s="45" t="n">
        <f aca="false">D20*(1+Rate_B*Tenor_Days/Basis_B)/(1+Rate_A*Tenor_Days/Basis_A)</f>
        <v>1.27992203060042</v>
      </c>
      <c r="F20" s="46" t="n">
        <f aca="false">(E20-D20)/Tick</f>
        <v>-55.2796939957712</v>
      </c>
      <c r="G20" s="81" t="n">
        <f aca="false">Y19</f>
        <v>250000</v>
      </c>
      <c r="H20" s="82" t="n">
        <f aca="false">G20/Pos_Limit</f>
        <v>0.25</v>
      </c>
      <c r="I20" s="83" t="n">
        <f aca="false">-MAX(-1,MIN(1,H20))*Max_Skew_Ticks</f>
        <v>-0.75</v>
      </c>
      <c r="J20" s="45" t="n">
        <f aca="false">ROUND(E20/Tick+I20-Spread_Ticks/2,0)*Tick</f>
        <v>1.2796</v>
      </c>
      <c r="K20" s="45" t="n">
        <f aca="false">J20+Spread_Ticks*Tick</f>
        <v>1.2801</v>
      </c>
      <c r="L20" s="84" t="str">
        <f aca="false">IF(AB19=1,"HALTED","LIVE")</f>
        <v>LIVE</v>
      </c>
      <c r="M20" s="81" t="n">
        <f aca="false">IF(L20="LIVE",IF(C20="BUY",-Clip_Size,IF(C20="SELL",Clip_Size,0)),0)</f>
        <v>0</v>
      </c>
      <c r="N20" s="45" t="n">
        <f aca="false">IF(M20&lt;0,K20,IF(M20&gt;0,J20,0))</f>
        <v>0</v>
      </c>
      <c r="O20" s="81" t="n">
        <f aca="false">G20+M20</f>
        <v>250000</v>
      </c>
      <c r="P20" s="85" t="n">
        <f aca="false">IF(M20&lt;0,(K20-E20)*ABS(M20),IF(M20&gt;0,(E20-J20)*M20,0))</f>
        <v>0</v>
      </c>
      <c r="Q20" s="85" t="n">
        <f aca="false">G20*(E20-E19)</f>
        <v>-82.1452157022673</v>
      </c>
      <c r="R20" s="85" t="n">
        <f aca="false">AA19+Q20+P20</f>
        <v>255.507650105624</v>
      </c>
      <c r="S20" s="86" t="n">
        <f aca="false">IF(ABS(O20)&gt;Pos_Limit,1,0)</f>
        <v>0</v>
      </c>
      <c r="T20" s="86" t="n">
        <f aca="false">IF(AND(AB19=0,R20&lt;=-Loss_Limit),1,0)</f>
        <v>0</v>
      </c>
      <c r="U20" s="84" t="str">
        <f aca="false">IF(T20=1,"LOSS LIMIT",IF(S20=1,"POSITION LIMIT",""))</f>
        <v/>
      </c>
      <c r="V20" s="81" t="n">
        <f aca="false">IF(T20=1,-O20,IF(S20=1,-(O20-SIGN(O20)*Hedge_Target),0))</f>
        <v>0</v>
      </c>
      <c r="W20" s="45" t="n">
        <f aca="false">IF(V20&gt;0,E20+Hedge_Cost_Ticks*Tick,IF(V20&lt;0,E20-Hedge_Cost_Ticks*Tick,0))</f>
        <v>0</v>
      </c>
      <c r="X20" s="85" t="n">
        <f aca="false">-ABS(V20)*Hedge_Cost_Ticks*Tick</f>
        <v>-0</v>
      </c>
      <c r="Y20" s="81" t="n">
        <f aca="false">O20+V20</f>
        <v>250000</v>
      </c>
      <c r="Z20" s="85" t="n">
        <f aca="false">Q20+P20+X20</f>
        <v>-82.1452157022673</v>
      </c>
      <c r="AA20" s="85" t="n">
        <f aca="false">AA19+Z20</f>
        <v>255.507650105624</v>
      </c>
      <c r="AB20" s="79" t="n">
        <f aca="false">IF(Halt_On_Loss=1,MAX(AB19,T20),0)</f>
        <v>0</v>
      </c>
      <c r="AC20" s="85" t="n">
        <f aca="false">Y20*E20</f>
        <v>319980.507650106</v>
      </c>
    </row>
    <row r="21" customFormat="false" ht="15" hidden="false" customHeight="false" outlineLevel="0" collapsed="false">
      <c r="A21" s="79" t="n">
        <f aca="false">A20+1</f>
        <v>15</v>
      </c>
      <c r="B21" s="80" t="n">
        <v>-2.6</v>
      </c>
      <c r="C21" s="50" t="s">
        <v>222</v>
      </c>
      <c r="D21" s="45" t="n">
        <f aca="false">D20+B21*Step_Vol_Ticks*Tick</f>
        <v>1.28467</v>
      </c>
      <c r="E21" s="45" t="n">
        <f aca="false">D21*(1+Rate_B*Tenor_Days/Basis_B)/(1+Rate_A*Tenor_Days/Basis_A)</f>
        <v>1.27914538492469</v>
      </c>
      <c r="F21" s="46" t="n">
        <f aca="false">(E21-D21)/Tick</f>
        <v>-55.246150753081</v>
      </c>
      <c r="G21" s="81" t="n">
        <f aca="false">Y20</f>
        <v>250000</v>
      </c>
      <c r="H21" s="82" t="n">
        <f aca="false">G21/Pos_Limit</f>
        <v>0.25</v>
      </c>
      <c r="I21" s="83" t="n">
        <f aca="false">-MAX(-1,MIN(1,H21))*Max_Skew_Ticks</f>
        <v>-0.75</v>
      </c>
      <c r="J21" s="45" t="n">
        <f aca="false">ROUND(E21/Tick+I21-Spread_Ticks/2,0)*Tick</f>
        <v>1.2788</v>
      </c>
      <c r="K21" s="45" t="n">
        <f aca="false">J21+Spread_Ticks*Tick</f>
        <v>1.2793</v>
      </c>
      <c r="L21" s="84" t="str">
        <f aca="false">IF(AB20=1,"HALTED","LIVE")</f>
        <v>LIVE</v>
      </c>
      <c r="M21" s="81" t="n">
        <f aca="false">IF(L21="LIVE",IF(C21="BUY",-Clip_Size,IF(C21="SELL",Clip_Size,0)),0)</f>
        <v>250000</v>
      </c>
      <c r="N21" s="45" t="n">
        <f aca="false">IF(M21&lt;0,K21,IF(M21&gt;0,J21,0))</f>
        <v>1.2788</v>
      </c>
      <c r="O21" s="81" t="n">
        <f aca="false">G21+M21</f>
        <v>500000</v>
      </c>
      <c r="P21" s="85" t="n">
        <f aca="false">IF(M21&lt;0,(K21-E21)*ABS(M21),IF(M21&gt;0,(E21-J21)*M21,0))</f>
        <v>86.3462311728735</v>
      </c>
      <c r="Q21" s="85" t="n">
        <f aca="false">G21*(E21-E20)</f>
        <v>-194.161418932748</v>
      </c>
      <c r="R21" s="85" t="n">
        <f aca="false">AA20+Q21+P21</f>
        <v>147.69246234575</v>
      </c>
      <c r="S21" s="86" t="n">
        <f aca="false">IF(ABS(O21)&gt;Pos_Limit,1,0)</f>
        <v>0</v>
      </c>
      <c r="T21" s="86" t="n">
        <f aca="false">IF(AND(AB20=0,R21&lt;=-Loss_Limit),1,0)</f>
        <v>0</v>
      </c>
      <c r="U21" s="84" t="str">
        <f aca="false">IF(T21=1,"LOSS LIMIT",IF(S21=1,"POSITION LIMIT",""))</f>
        <v/>
      </c>
      <c r="V21" s="81" t="n">
        <f aca="false">IF(T21=1,-O21,IF(S21=1,-(O21-SIGN(O21)*Hedge_Target),0))</f>
        <v>0</v>
      </c>
      <c r="W21" s="45" t="n">
        <f aca="false">IF(V21&gt;0,E21+Hedge_Cost_Ticks*Tick,IF(V21&lt;0,E21-Hedge_Cost_Ticks*Tick,0))</f>
        <v>0</v>
      </c>
      <c r="X21" s="85" t="n">
        <f aca="false">-ABS(V21)*Hedge_Cost_Ticks*Tick</f>
        <v>-0</v>
      </c>
      <c r="Y21" s="81" t="n">
        <f aca="false">O21+V21</f>
        <v>500000</v>
      </c>
      <c r="Z21" s="85" t="n">
        <f aca="false">Q21+P21+X21</f>
        <v>-107.815187759874</v>
      </c>
      <c r="AA21" s="85" t="n">
        <f aca="false">AA20+Z21</f>
        <v>147.69246234575</v>
      </c>
      <c r="AB21" s="79" t="n">
        <f aca="false">IF(Halt_On_Loss=1,MAX(AB20,T21),0)</f>
        <v>0</v>
      </c>
      <c r="AC21" s="85" t="n">
        <f aca="false">Y21*E21</f>
        <v>639572.692462346</v>
      </c>
    </row>
    <row r="22" customFormat="false" ht="15" hidden="false" customHeight="false" outlineLevel="0" collapsed="false">
      <c r="A22" s="79" t="n">
        <f aca="false">A21+1</f>
        <v>16</v>
      </c>
      <c r="B22" s="80" t="n">
        <v>-1</v>
      </c>
      <c r="C22" s="50" t="s">
        <v>220</v>
      </c>
      <c r="D22" s="45" t="n">
        <f aca="false">D21+B22*Step_Vol_Ticks*Tick</f>
        <v>1.28437</v>
      </c>
      <c r="E22" s="45" t="n">
        <f aca="false">D22*(1+Rate_B*Tenor_Days/Basis_B)/(1+Rate_A*Tenor_Days/Basis_A)</f>
        <v>1.27884667504941</v>
      </c>
      <c r="F22" s="46" t="n">
        <f aca="false">(E22-D22)/Tick</f>
        <v>-55.2332495058927</v>
      </c>
      <c r="G22" s="81" t="n">
        <f aca="false">Y21</f>
        <v>500000</v>
      </c>
      <c r="H22" s="82" t="n">
        <f aca="false">G22/Pos_Limit</f>
        <v>0.5</v>
      </c>
      <c r="I22" s="83" t="n">
        <f aca="false">-MAX(-1,MIN(1,H22))*Max_Skew_Ticks</f>
        <v>-1.5</v>
      </c>
      <c r="J22" s="45" t="n">
        <f aca="false">ROUND(E22/Tick+I22-Spread_Ticks/2,0)*Tick</f>
        <v>1.2784</v>
      </c>
      <c r="K22" s="45" t="n">
        <f aca="false">J22+Spread_Ticks*Tick</f>
        <v>1.2789</v>
      </c>
      <c r="L22" s="84" t="str">
        <f aca="false">IF(AB21=1,"HALTED","LIVE")</f>
        <v>LIVE</v>
      </c>
      <c r="M22" s="81" t="n">
        <f aca="false">IF(L22="LIVE",IF(C22="BUY",-Clip_Size,IF(C22="SELL",Clip_Size,0)),0)</f>
        <v>0</v>
      </c>
      <c r="N22" s="45" t="n">
        <f aca="false">IF(M22&lt;0,K22,IF(M22&gt;0,J22,0))</f>
        <v>0</v>
      </c>
      <c r="O22" s="81" t="n">
        <f aca="false">G22+M22</f>
        <v>500000</v>
      </c>
      <c r="P22" s="85" t="n">
        <f aca="false">IF(M22&lt;0,(K22-E22)*ABS(M22),IF(M22&gt;0,(E22-J22)*M22,0))</f>
        <v>0</v>
      </c>
      <c r="Q22" s="85" t="n">
        <f aca="false">G22*(E22-E21)</f>
        <v>-149.354937640567</v>
      </c>
      <c r="R22" s="85" t="n">
        <f aca="false">AA21+Q22+P22</f>
        <v>-1.66247529481689</v>
      </c>
      <c r="S22" s="86" t="n">
        <f aca="false">IF(ABS(O22)&gt;Pos_Limit,1,0)</f>
        <v>0</v>
      </c>
      <c r="T22" s="86" t="n">
        <f aca="false">IF(AND(AB21=0,R22&lt;=-Loss_Limit),1,0)</f>
        <v>0</v>
      </c>
      <c r="U22" s="84" t="str">
        <f aca="false">IF(T22=1,"LOSS LIMIT",IF(S22=1,"POSITION LIMIT",""))</f>
        <v/>
      </c>
      <c r="V22" s="81" t="n">
        <f aca="false">IF(T22=1,-O22,IF(S22=1,-(O22-SIGN(O22)*Hedge_Target),0))</f>
        <v>0</v>
      </c>
      <c r="W22" s="45" t="n">
        <f aca="false">IF(V22&gt;0,E22+Hedge_Cost_Ticks*Tick,IF(V22&lt;0,E22-Hedge_Cost_Ticks*Tick,0))</f>
        <v>0</v>
      </c>
      <c r="X22" s="85" t="n">
        <f aca="false">-ABS(V22)*Hedge_Cost_Ticks*Tick</f>
        <v>-0</v>
      </c>
      <c r="Y22" s="81" t="n">
        <f aca="false">O22+V22</f>
        <v>500000</v>
      </c>
      <c r="Z22" s="85" t="n">
        <f aca="false">Q22+P22+X22</f>
        <v>-149.354937640567</v>
      </c>
      <c r="AA22" s="85" t="n">
        <f aca="false">AA21+Z22</f>
        <v>-1.66247529481689</v>
      </c>
      <c r="AB22" s="79" t="n">
        <f aca="false">IF(Halt_On_Loss=1,MAX(AB21,T22),0)</f>
        <v>0</v>
      </c>
      <c r="AC22" s="85" t="n">
        <f aca="false">Y22*E22</f>
        <v>639423.337524705</v>
      </c>
    </row>
    <row r="23" customFormat="false" ht="15" hidden="false" customHeight="false" outlineLevel="0" collapsed="false">
      <c r="A23" s="79" t="n">
        <f aca="false">A22+1</f>
        <v>17</v>
      </c>
      <c r="B23" s="80" t="n">
        <v>-1</v>
      </c>
      <c r="C23" s="50" t="s">
        <v>222</v>
      </c>
      <c r="D23" s="45" t="n">
        <f aca="false">D22+B23*Step_Vol_Ticks*Tick</f>
        <v>1.28407</v>
      </c>
      <c r="E23" s="45" t="n">
        <f aca="false">D23*(1+Rate_B*Tenor_Days/Basis_B)/(1+Rate_A*Tenor_Days/Basis_A)</f>
        <v>1.27854796517413</v>
      </c>
      <c r="F23" s="46" t="n">
        <f aca="false">(E23-D23)/Tick</f>
        <v>-55.2203482587044</v>
      </c>
      <c r="G23" s="81" t="n">
        <f aca="false">Y22</f>
        <v>500000</v>
      </c>
      <c r="H23" s="82" t="n">
        <f aca="false">G23/Pos_Limit</f>
        <v>0.5</v>
      </c>
      <c r="I23" s="83" t="n">
        <f aca="false">-MAX(-1,MIN(1,H23))*Max_Skew_Ticks</f>
        <v>-1.5</v>
      </c>
      <c r="J23" s="45" t="n">
        <f aca="false">ROUND(E23/Tick+I23-Spread_Ticks/2,0)*Tick</f>
        <v>1.2781</v>
      </c>
      <c r="K23" s="45" t="n">
        <f aca="false">J23+Spread_Ticks*Tick</f>
        <v>1.2786</v>
      </c>
      <c r="L23" s="84" t="str">
        <f aca="false">IF(AB22=1,"HALTED","LIVE")</f>
        <v>LIVE</v>
      </c>
      <c r="M23" s="81" t="n">
        <f aca="false">IF(L23="LIVE",IF(C23="BUY",-Clip_Size,IF(C23="SELL",Clip_Size,0)),0)</f>
        <v>250000</v>
      </c>
      <c r="N23" s="45" t="n">
        <f aca="false">IF(M23&lt;0,K23,IF(M23&gt;0,J23,0))</f>
        <v>1.2781</v>
      </c>
      <c r="O23" s="81" t="n">
        <f aca="false">G23+M23</f>
        <v>750000</v>
      </c>
      <c r="P23" s="85" t="n">
        <f aca="false">IF(M23&lt;0,(K23-E23)*ABS(M23),IF(M23&gt;0,(E23-J23)*M23,0))</f>
        <v>111.991293532343</v>
      </c>
      <c r="Q23" s="85" t="n">
        <f aca="false">G23*(E23-E22)</f>
        <v>-149.354937640567</v>
      </c>
      <c r="R23" s="85" t="n">
        <f aca="false">AA22+Q23+P23</f>
        <v>-39.0261194030406</v>
      </c>
      <c r="S23" s="86" t="n">
        <f aca="false">IF(ABS(O23)&gt;Pos_Limit,1,0)</f>
        <v>0</v>
      </c>
      <c r="T23" s="86" t="n">
        <f aca="false">IF(AND(AB22=0,R23&lt;=-Loss_Limit),1,0)</f>
        <v>0</v>
      </c>
      <c r="U23" s="84" t="str">
        <f aca="false">IF(T23=1,"LOSS LIMIT",IF(S23=1,"POSITION LIMIT",""))</f>
        <v/>
      </c>
      <c r="V23" s="81" t="n">
        <f aca="false">IF(T23=1,-O23,IF(S23=1,-(O23-SIGN(O23)*Hedge_Target),0))</f>
        <v>0</v>
      </c>
      <c r="W23" s="45" t="n">
        <f aca="false">IF(V23&gt;0,E23+Hedge_Cost_Ticks*Tick,IF(V23&lt;0,E23-Hedge_Cost_Ticks*Tick,0))</f>
        <v>0</v>
      </c>
      <c r="X23" s="85" t="n">
        <f aca="false">-ABS(V23)*Hedge_Cost_Ticks*Tick</f>
        <v>-0</v>
      </c>
      <c r="Y23" s="81" t="n">
        <f aca="false">O23+V23</f>
        <v>750000</v>
      </c>
      <c r="Z23" s="85" t="n">
        <f aca="false">Q23+P23+X23</f>
        <v>-37.3636441082237</v>
      </c>
      <c r="AA23" s="85" t="n">
        <f aca="false">AA22+Z23</f>
        <v>-39.0261194030406</v>
      </c>
      <c r="AB23" s="79" t="n">
        <f aca="false">IF(Halt_On_Loss=1,MAX(AB22,T23),0)</f>
        <v>0</v>
      </c>
      <c r="AC23" s="85" t="n">
        <f aca="false">Y23*E23</f>
        <v>958910.973880597</v>
      </c>
    </row>
    <row r="24" customFormat="false" ht="15" hidden="false" customHeight="false" outlineLevel="0" collapsed="false">
      <c r="A24" s="79" t="n">
        <f aca="false">A23+1</f>
        <v>18</v>
      </c>
      <c r="B24" s="80" t="n">
        <v>1.2</v>
      </c>
      <c r="C24" s="50" t="s">
        <v>220</v>
      </c>
      <c r="D24" s="45" t="n">
        <f aca="false">D23+B24*Step_Vol_Ticks*Tick</f>
        <v>1.28443</v>
      </c>
      <c r="E24" s="45" t="n">
        <f aca="false">D24*(1+Rate_B*Tenor_Days/Basis_B)/(1+Rate_A*Tenor_Days/Basis_A)</f>
        <v>1.27890641702447</v>
      </c>
      <c r="F24" s="46" t="n">
        <f aca="false">(E24-D24)/Tick</f>
        <v>-55.2358297553313</v>
      </c>
      <c r="G24" s="81" t="n">
        <f aca="false">Y23</f>
        <v>750000</v>
      </c>
      <c r="H24" s="82" t="n">
        <f aca="false">G24/Pos_Limit</f>
        <v>0.75</v>
      </c>
      <c r="I24" s="83" t="n">
        <f aca="false">-MAX(-1,MIN(1,H24))*Max_Skew_Ticks</f>
        <v>-2.25</v>
      </c>
      <c r="J24" s="45" t="n">
        <f aca="false">ROUND(E24/Tick+I24-Spread_Ticks/2,0)*Tick</f>
        <v>1.2784</v>
      </c>
      <c r="K24" s="45" t="n">
        <f aca="false">J24+Spread_Ticks*Tick</f>
        <v>1.2789</v>
      </c>
      <c r="L24" s="84" t="str">
        <f aca="false">IF(AB23=1,"HALTED","LIVE")</f>
        <v>LIVE</v>
      </c>
      <c r="M24" s="81" t="n">
        <f aca="false">IF(L24="LIVE",IF(C24="BUY",-Clip_Size,IF(C24="SELL",Clip_Size,0)),0)</f>
        <v>0</v>
      </c>
      <c r="N24" s="45" t="n">
        <f aca="false">IF(M24&lt;0,K24,IF(M24&gt;0,J24,0))</f>
        <v>0</v>
      </c>
      <c r="O24" s="81" t="n">
        <f aca="false">G24+M24</f>
        <v>750000</v>
      </c>
      <c r="P24" s="85" t="n">
        <f aca="false">IF(M24&lt;0,(K24-E24)*ABS(M24),IF(M24&gt;0,(E24-J24)*M24,0))</f>
        <v>0</v>
      </c>
      <c r="Q24" s="85" t="n">
        <f aca="false">G24*(E24-E23)</f>
        <v>268.83888775292</v>
      </c>
      <c r="R24" s="85" t="n">
        <f aca="false">AA23+Q24+P24</f>
        <v>229.81276834988</v>
      </c>
      <c r="S24" s="86" t="n">
        <f aca="false">IF(ABS(O24)&gt;Pos_Limit,1,0)</f>
        <v>0</v>
      </c>
      <c r="T24" s="86" t="n">
        <f aca="false">IF(AND(AB23=0,R24&lt;=-Loss_Limit),1,0)</f>
        <v>0</v>
      </c>
      <c r="U24" s="84" t="str">
        <f aca="false">IF(T24=1,"LOSS LIMIT",IF(S24=1,"POSITION LIMIT",""))</f>
        <v/>
      </c>
      <c r="V24" s="81" t="n">
        <f aca="false">IF(T24=1,-O24,IF(S24=1,-(O24-SIGN(O24)*Hedge_Target),0))</f>
        <v>0</v>
      </c>
      <c r="W24" s="45" t="n">
        <f aca="false">IF(V24&gt;0,E24+Hedge_Cost_Ticks*Tick,IF(V24&lt;0,E24-Hedge_Cost_Ticks*Tick,0))</f>
        <v>0</v>
      </c>
      <c r="X24" s="85" t="n">
        <f aca="false">-ABS(V24)*Hedge_Cost_Ticks*Tick</f>
        <v>-0</v>
      </c>
      <c r="Y24" s="81" t="n">
        <f aca="false">O24+V24</f>
        <v>750000</v>
      </c>
      <c r="Z24" s="85" t="n">
        <f aca="false">Q24+P24+X24</f>
        <v>268.83888775292</v>
      </c>
      <c r="AA24" s="85" t="n">
        <f aca="false">AA23+Z24</f>
        <v>229.81276834988</v>
      </c>
      <c r="AB24" s="79" t="n">
        <f aca="false">IF(Halt_On_Loss=1,MAX(AB23,T24),0)</f>
        <v>0</v>
      </c>
      <c r="AC24" s="85" t="n">
        <f aca="false">Y24*E24</f>
        <v>959179.81276835</v>
      </c>
    </row>
    <row r="25" customFormat="false" ht="15" hidden="false" customHeight="false" outlineLevel="0" collapsed="false">
      <c r="A25" s="79" t="n">
        <f aca="false">A24+1</f>
        <v>19</v>
      </c>
      <c r="B25" s="80" t="n">
        <v>-1.8</v>
      </c>
      <c r="C25" s="50" t="s">
        <v>221</v>
      </c>
      <c r="D25" s="45" t="n">
        <f aca="false">D24+B25*Step_Vol_Ticks*Tick</f>
        <v>1.28389</v>
      </c>
      <c r="E25" s="45" t="n">
        <f aca="false">D25*(1+Rate_B*Tenor_Days/Basis_B)/(1+Rate_A*Tenor_Days/Basis_A)</f>
        <v>1.27836873924896</v>
      </c>
      <c r="F25" s="46" t="n">
        <f aca="false">(E25-D25)/Tick</f>
        <v>-55.2126075103909</v>
      </c>
      <c r="G25" s="81" t="n">
        <f aca="false">Y24</f>
        <v>750000</v>
      </c>
      <c r="H25" s="82" t="n">
        <f aca="false">G25/Pos_Limit</f>
        <v>0.75</v>
      </c>
      <c r="I25" s="83" t="n">
        <f aca="false">-MAX(-1,MIN(1,H25))*Max_Skew_Ticks</f>
        <v>-2.25</v>
      </c>
      <c r="J25" s="45" t="n">
        <f aca="false">ROUND(E25/Tick+I25-Spread_Ticks/2,0)*Tick</f>
        <v>1.2779</v>
      </c>
      <c r="K25" s="45" t="n">
        <f aca="false">J25+Spread_Ticks*Tick</f>
        <v>1.2784</v>
      </c>
      <c r="L25" s="84" t="str">
        <f aca="false">IF(AB24=1,"HALTED","LIVE")</f>
        <v>LIVE</v>
      </c>
      <c r="M25" s="81" t="n">
        <f aca="false">IF(L25="LIVE",IF(C25="BUY",-Clip_Size,IF(C25="SELL",Clip_Size,0)),0)</f>
        <v>-250000</v>
      </c>
      <c r="N25" s="45" t="n">
        <f aca="false">IF(M25&lt;0,K25,IF(M25&gt;0,J25,0))</f>
        <v>1.2784</v>
      </c>
      <c r="O25" s="81" t="n">
        <f aca="false">G25+M25</f>
        <v>500000</v>
      </c>
      <c r="P25" s="85" t="n">
        <f aca="false">IF(M25&lt;0,(K25-E25)*ABS(M25),IF(M25&gt;0,(E25-J25)*M25,0))</f>
        <v>7.81518775982981</v>
      </c>
      <c r="Q25" s="85" t="n">
        <f aca="false">G25*(E25-E24)</f>
        <v>-403.258331629464</v>
      </c>
      <c r="R25" s="85" t="n">
        <f aca="false">AA24+Q25+P25</f>
        <v>-165.630375519754</v>
      </c>
      <c r="S25" s="86" t="n">
        <f aca="false">IF(ABS(O25)&gt;Pos_Limit,1,0)</f>
        <v>0</v>
      </c>
      <c r="T25" s="86" t="n">
        <f aca="false">IF(AND(AB24=0,R25&lt;=-Loss_Limit),1,0)</f>
        <v>0</v>
      </c>
      <c r="U25" s="84" t="str">
        <f aca="false">IF(T25=1,"LOSS LIMIT",IF(S25=1,"POSITION LIMIT",""))</f>
        <v/>
      </c>
      <c r="V25" s="81" t="n">
        <f aca="false">IF(T25=1,-O25,IF(S25=1,-(O25-SIGN(O25)*Hedge_Target),0))</f>
        <v>0</v>
      </c>
      <c r="W25" s="45" t="n">
        <f aca="false">IF(V25&gt;0,E25+Hedge_Cost_Ticks*Tick,IF(V25&lt;0,E25-Hedge_Cost_Ticks*Tick,0))</f>
        <v>0</v>
      </c>
      <c r="X25" s="85" t="n">
        <f aca="false">-ABS(V25)*Hedge_Cost_Ticks*Tick</f>
        <v>-0</v>
      </c>
      <c r="Y25" s="81" t="n">
        <f aca="false">O25+V25</f>
        <v>500000</v>
      </c>
      <c r="Z25" s="85" t="n">
        <f aca="false">Q25+P25+X25</f>
        <v>-395.443143869634</v>
      </c>
      <c r="AA25" s="85" t="n">
        <f aca="false">AA24+Z25</f>
        <v>-165.630375519754</v>
      </c>
      <c r="AB25" s="79" t="n">
        <f aca="false">IF(Halt_On_Loss=1,MAX(AB24,T25),0)</f>
        <v>0</v>
      </c>
      <c r="AC25" s="85" t="n">
        <f aca="false">Y25*E25</f>
        <v>639184.36962448</v>
      </c>
    </row>
    <row r="26" customFormat="false" ht="15" hidden="false" customHeight="false" outlineLevel="0" collapsed="false">
      <c r="A26" s="79" t="n">
        <f aca="false">A25+1</f>
        <v>20</v>
      </c>
      <c r="B26" s="80" t="n">
        <v>0.5</v>
      </c>
      <c r="C26" s="50" t="s">
        <v>220</v>
      </c>
      <c r="D26" s="45" t="n">
        <f aca="false">D25+B26*Step_Vol_Ticks*Tick</f>
        <v>1.28404</v>
      </c>
      <c r="E26" s="45" t="n">
        <f aca="false">D26*(1+Rate_B*Tenor_Days/Basis_B)/(1+Rate_A*Tenor_Days/Basis_A)</f>
        <v>1.2785180941866</v>
      </c>
      <c r="F26" s="46" t="n">
        <f aca="false">(E26-D26)/Tick</f>
        <v>-55.219058133984</v>
      </c>
      <c r="G26" s="81" t="n">
        <f aca="false">Y25</f>
        <v>500000</v>
      </c>
      <c r="H26" s="82" t="n">
        <f aca="false">G26/Pos_Limit</f>
        <v>0.5</v>
      </c>
      <c r="I26" s="83" t="n">
        <f aca="false">-MAX(-1,MIN(1,H26))*Max_Skew_Ticks</f>
        <v>-1.5</v>
      </c>
      <c r="J26" s="45" t="n">
        <f aca="false">ROUND(E26/Tick+I26-Spread_Ticks/2,0)*Tick</f>
        <v>1.2781</v>
      </c>
      <c r="K26" s="45" t="n">
        <f aca="false">J26+Spread_Ticks*Tick</f>
        <v>1.2786</v>
      </c>
      <c r="L26" s="84" t="str">
        <f aca="false">IF(AB25=1,"HALTED","LIVE")</f>
        <v>LIVE</v>
      </c>
      <c r="M26" s="81" t="n">
        <f aca="false">IF(L26="LIVE",IF(C26="BUY",-Clip_Size,IF(C26="SELL",Clip_Size,0)),0)</f>
        <v>0</v>
      </c>
      <c r="N26" s="45" t="n">
        <f aca="false">IF(M26&lt;0,K26,IF(M26&gt;0,J26,0))</f>
        <v>0</v>
      </c>
      <c r="O26" s="81" t="n">
        <f aca="false">G26+M26</f>
        <v>500000</v>
      </c>
      <c r="P26" s="85" t="n">
        <f aca="false">IF(M26&lt;0,(K26-E26)*ABS(M26),IF(M26&gt;0,(E26-J26)*M26,0))</f>
        <v>0</v>
      </c>
      <c r="Q26" s="85" t="n">
        <f aca="false">G26*(E26-E25)</f>
        <v>74.6774688203944</v>
      </c>
      <c r="R26" s="85" t="n">
        <f aca="false">AA25+Q26+P26</f>
        <v>-90.9529066993597</v>
      </c>
      <c r="S26" s="86" t="n">
        <f aca="false">IF(ABS(O26)&gt;Pos_Limit,1,0)</f>
        <v>0</v>
      </c>
      <c r="T26" s="86" t="n">
        <f aca="false">IF(AND(AB25=0,R26&lt;=-Loss_Limit),1,0)</f>
        <v>0</v>
      </c>
      <c r="U26" s="84" t="str">
        <f aca="false">IF(T26=1,"LOSS LIMIT",IF(S26=1,"POSITION LIMIT",""))</f>
        <v/>
      </c>
      <c r="V26" s="81" t="n">
        <f aca="false">IF(T26=1,-O26,IF(S26=1,-(O26-SIGN(O26)*Hedge_Target),0))</f>
        <v>0</v>
      </c>
      <c r="W26" s="45" t="n">
        <f aca="false">IF(V26&gt;0,E26+Hedge_Cost_Ticks*Tick,IF(V26&lt;0,E26-Hedge_Cost_Ticks*Tick,0))</f>
        <v>0</v>
      </c>
      <c r="X26" s="85" t="n">
        <f aca="false">-ABS(V26)*Hedge_Cost_Ticks*Tick</f>
        <v>-0</v>
      </c>
      <c r="Y26" s="81" t="n">
        <f aca="false">O26+V26</f>
        <v>500000</v>
      </c>
      <c r="Z26" s="85" t="n">
        <f aca="false">Q26+P26+X26</f>
        <v>74.6774688203944</v>
      </c>
      <c r="AA26" s="85" t="n">
        <f aca="false">AA25+Z26</f>
        <v>-90.9529066993597</v>
      </c>
      <c r="AB26" s="79" t="n">
        <f aca="false">IF(Halt_On_Loss=1,MAX(AB25,T26),0)</f>
        <v>0</v>
      </c>
      <c r="AC26" s="85" t="n">
        <f aca="false">Y26*E26</f>
        <v>639259.047093301</v>
      </c>
    </row>
    <row r="27" customFormat="false" ht="15" hidden="false" customHeight="false" outlineLevel="0" collapsed="false">
      <c r="A27" s="79" t="n">
        <f aca="false">A26+1</f>
        <v>21</v>
      </c>
      <c r="B27" s="80" t="n">
        <v>0</v>
      </c>
      <c r="C27" s="50" t="s">
        <v>222</v>
      </c>
      <c r="D27" s="45" t="n">
        <f aca="false">D26+B27*Step_Vol_Ticks*Tick</f>
        <v>1.28404</v>
      </c>
      <c r="E27" s="45" t="n">
        <f aca="false">D27*(1+Rate_B*Tenor_Days/Basis_B)/(1+Rate_A*Tenor_Days/Basis_A)</f>
        <v>1.2785180941866</v>
      </c>
      <c r="F27" s="46" t="n">
        <f aca="false">(E27-D27)/Tick</f>
        <v>-55.219058133984</v>
      </c>
      <c r="G27" s="81" t="n">
        <f aca="false">Y26</f>
        <v>500000</v>
      </c>
      <c r="H27" s="82" t="n">
        <f aca="false">G27/Pos_Limit</f>
        <v>0.5</v>
      </c>
      <c r="I27" s="83" t="n">
        <f aca="false">-MAX(-1,MIN(1,H27))*Max_Skew_Ticks</f>
        <v>-1.5</v>
      </c>
      <c r="J27" s="45" t="n">
        <f aca="false">ROUND(E27/Tick+I27-Spread_Ticks/2,0)*Tick</f>
        <v>1.2781</v>
      </c>
      <c r="K27" s="45" t="n">
        <f aca="false">J27+Spread_Ticks*Tick</f>
        <v>1.2786</v>
      </c>
      <c r="L27" s="84" t="str">
        <f aca="false">IF(AB26=1,"HALTED","LIVE")</f>
        <v>LIVE</v>
      </c>
      <c r="M27" s="81" t="n">
        <f aca="false">IF(L27="LIVE",IF(C27="BUY",-Clip_Size,IF(C27="SELL",Clip_Size,0)),0)</f>
        <v>250000</v>
      </c>
      <c r="N27" s="45" t="n">
        <f aca="false">IF(M27&lt;0,K27,IF(M27&gt;0,J27,0))</f>
        <v>1.2781</v>
      </c>
      <c r="O27" s="81" t="n">
        <f aca="false">G27+M27</f>
        <v>750000</v>
      </c>
      <c r="P27" s="85" t="n">
        <f aca="false">IF(M27&lt;0,(K27-E27)*ABS(M27),IF(M27&gt;0,(E27-J27)*M27,0))</f>
        <v>104.523546650359</v>
      </c>
      <c r="Q27" s="85" t="n">
        <f aca="false">G27*(E27-E26)</f>
        <v>0</v>
      </c>
      <c r="R27" s="85" t="n">
        <f aca="false">AA26+Q27+P27</f>
        <v>13.5706399509994</v>
      </c>
      <c r="S27" s="86" t="n">
        <f aca="false">IF(ABS(O27)&gt;Pos_Limit,1,0)</f>
        <v>0</v>
      </c>
      <c r="T27" s="86" t="n">
        <f aca="false">IF(AND(AB26=0,R27&lt;=-Loss_Limit),1,0)</f>
        <v>0</v>
      </c>
      <c r="U27" s="84" t="str">
        <f aca="false">IF(T27=1,"LOSS LIMIT",IF(S27=1,"POSITION LIMIT",""))</f>
        <v/>
      </c>
      <c r="V27" s="81" t="n">
        <f aca="false">IF(T27=1,-O27,IF(S27=1,-(O27-SIGN(O27)*Hedge_Target),0))</f>
        <v>0</v>
      </c>
      <c r="W27" s="45" t="n">
        <f aca="false">IF(V27&gt;0,E27+Hedge_Cost_Ticks*Tick,IF(V27&lt;0,E27-Hedge_Cost_Ticks*Tick,0))</f>
        <v>0</v>
      </c>
      <c r="X27" s="85" t="n">
        <f aca="false">-ABS(V27)*Hedge_Cost_Ticks*Tick</f>
        <v>-0</v>
      </c>
      <c r="Y27" s="81" t="n">
        <f aca="false">O27+V27</f>
        <v>750000</v>
      </c>
      <c r="Z27" s="85" t="n">
        <f aca="false">Q27+P27+X27</f>
        <v>104.523546650359</v>
      </c>
      <c r="AA27" s="85" t="n">
        <f aca="false">AA26+Z27</f>
        <v>13.5706399509994</v>
      </c>
      <c r="AB27" s="79" t="n">
        <f aca="false">IF(Halt_On_Loss=1,MAX(AB26,T27),0)</f>
        <v>0</v>
      </c>
      <c r="AC27" s="85" t="n">
        <f aca="false">Y27*E27</f>
        <v>958888.570639951</v>
      </c>
    </row>
    <row r="28" customFormat="false" ht="15" hidden="false" customHeight="false" outlineLevel="0" collapsed="false">
      <c r="A28" s="79" t="n">
        <f aca="false">A27+1</f>
        <v>22</v>
      </c>
      <c r="B28" s="80" t="n">
        <v>0.2</v>
      </c>
      <c r="C28" s="50" t="s">
        <v>222</v>
      </c>
      <c r="D28" s="45" t="n">
        <f aca="false">D27+B28*Step_Vol_Ticks*Tick</f>
        <v>1.2841</v>
      </c>
      <c r="E28" s="45" t="n">
        <f aca="false">D28*(1+Rate_B*Tenor_Days/Basis_B)/(1+Rate_A*Tenor_Days/Basis_A)</f>
        <v>1.27857783616166</v>
      </c>
      <c r="F28" s="46" t="n">
        <f aca="false">(E28-D28)/Tick</f>
        <v>-55.2216383834225</v>
      </c>
      <c r="G28" s="81" t="n">
        <f aca="false">Y27</f>
        <v>750000</v>
      </c>
      <c r="H28" s="82" t="n">
        <f aca="false">G28/Pos_Limit</f>
        <v>0.75</v>
      </c>
      <c r="I28" s="83" t="n">
        <f aca="false">-MAX(-1,MIN(1,H28))*Max_Skew_Ticks</f>
        <v>-2.25</v>
      </c>
      <c r="J28" s="45" t="n">
        <f aca="false">ROUND(E28/Tick+I28-Spread_Ticks/2,0)*Tick</f>
        <v>1.2781</v>
      </c>
      <c r="K28" s="45" t="n">
        <f aca="false">J28+Spread_Ticks*Tick</f>
        <v>1.2786</v>
      </c>
      <c r="L28" s="84" t="str">
        <f aca="false">IF(AB27=1,"HALTED","LIVE")</f>
        <v>LIVE</v>
      </c>
      <c r="M28" s="81" t="n">
        <f aca="false">IF(L28="LIVE",IF(C28="BUY",-Clip_Size,IF(C28="SELL",Clip_Size,0)),0)</f>
        <v>250000</v>
      </c>
      <c r="N28" s="45" t="n">
        <f aca="false">IF(M28&lt;0,K28,IF(M28&gt;0,J28,0))</f>
        <v>1.2781</v>
      </c>
      <c r="O28" s="81" t="n">
        <f aca="false">G28+M28</f>
        <v>1000000</v>
      </c>
      <c r="P28" s="85" t="n">
        <f aca="false">IF(M28&lt;0,(K28-E28)*ABS(M28),IF(M28&gt;0,(E28-J28)*M28,0))</f>
        <v>119.459040414382</v>
      </c>
      <c r="Q28" s="85" t="n">
        <f aca="false">G28*(E28-E27)</f>
        <v>44.8064812920701</v>
      </c>
      <c r="R28" s="85" t="n">
        <f aca="false">AA27+Q28+P28</f>
        <v>177.836161657452</v>
      </c>
      <c r="S28" s="86" t="n">
        <f aca="false">IF(ABS(O28)&gt;Pos_Limit,1,0)</f>
        <v>0</v>
      </c>
      <c r="T28" s="86" t="n">
        <f aca="false">IF(AND(AB27=0,R28&lt;=-Loss_Limit),1,0)</f>
        <v>0</v>
      </c>
      <c r="U28" s="84" t="str">
        <f aca="false">IF(T28=1,"LOSS LIMIT",IF(S28=1,"POSITION LIMIT",""))</f>
        <v/>
      </c>
      <c r="V28" s="81" t="n">
        <f aca="false">IF(T28=1,-O28,IF(S28=1,-(O28-SIGN(O28)*Hedge_Target),0))</f>
        <v>0</v>
      </c>
      <c r="W28" s="45" t="n">
        <f aca="false">IF(V28&gt;0,E28+Hedge_Cost_Ticks*Tick,IF(V28&lt;0,E28-Hedge_Cost_Ticks*Tick,0))</f>
        <v>0</v>
      </c>
      <c r="X28" s="85" t="n">
        <f aca="false">-ABS(V28)*Hedge_Cost_Ticks*Tick</f>
        <v>-0</v>
      </c>
      <c r="Y28" s="81" t="n">
        <f aca="false">O28+V28</f>
        <v>1000000</v>
      </c>
      <c r="Z28" s="85" t="n">
        <f aca="false">Q28+P28+X28</f>
        <v>164.265521706453</v>
      </c>
      <c r="AA28" s="85" t="n">
        <f aca="false">AA27+Z28</f>
        <v>177.836161657452</v>
      </c>
      <c r="AB28" s="79" t="n">
        <f aca="false">IF(Halt_On_Loss=1,MAX(AB27,T28),0)</f>
        <v>0</v>
      </c>
      <c r="AC28" s="85" t="n">
        <f aca="false">Y28*E28</f>
        <v>1278577.83616166</v>
      </c>
    </row>
    <row r="29" customFormat="false" ht="15" hidden="false" customHeight="false" outlineLevel="0" collapsed="false">
      <c r="A29" s="79" t="n">
        <f aca="false">A28+1</f>
        <v>23</v>
      </c>
      <c r="B29" s="80" t="n">
        <v>-0.1</v>
      </c>
      <c r="C29" s="50" t="s">
        <v>220</v>
      </c>
      <c r="D29" s="45" t="n">
        <f aca="false">D28+B29*Step_Vol_Ticks*Tick</f>
        <v>1.28407</v>
      </c>
      <c r="E29" s="45" t="n">
        <f aca="false">D29*(1+Rate_B*Tenor_Days/Basis_B)/(1+Rate_A*Tenor_Days/Basis_A)</f>
        <v>1.27854796517413</v>
      </c>
      <c r="F29" s="46" t="n">
        <f aca="false">(E29-D29)/Tick</f>
        <v>-55.2203482587044</v>
      </c>
      <c r="G29" s="81" t="n">
        <f aca="false">Y28</f>
        <v>1000000</v>
      </c>
      <c r="H29" s="82" t="n">
        <f aca="false">G29/Pos_Limit</f>
        <v>1</v>
      </c>
      <c r="I29" s="83" t="n">
        <f aca="false">-MAX(-1,MIN(1,H29))*Max_Skew_Ticks</f>
        <v>-3</v>
      </c>
      <c r="J29" s="45" t="n">
        <f aca="false">ROUND(E29/Tick+I29-Spread_Ticks/2,0)*Tick</f>
        <v>1.278</v>
      </c>
      <c r="K29" s="45" t="n">
        <f aca="false">J29+Spread_Ticks*Tick</f>
        <v>1.2785</v>
      </c>
      <c r="L29" s="84" t="str">
        <f aca="false">IF(AB28=1,"HALTED","LIVE")</f>
        <v>LIVE</v>
      </c>
      <c r="M29" s="81" t="n">
        <f aca="false">IF(L29="LIVE",IF(C29="BUY",-Clip_Size,IF(C29="SELL",Clip_Size,0)),0)</f>
        <v>0</v>
      </c>
      <c r="N29" s="45" t="n">
        <f aca="false">IF(M29&lt;0,K29,IF(M29&gt;0,J29,0))</f>
        <v>0</v>
      </c>
      <c r="O29" s="81" t="n">
        <f aca="false">G29+M29</f>
        <v>1000000</v>
      </c>
      <c r="P29" s="85" t="n">
        <f aca="false">IF(M29&lt;0,(K29-E29)*ABS(M29),IF(M29&gt;0,(E29-J29)*M29,0))</f>
        <v>0</v>
      </c>
      <c r="Q29" s="85" t="n">
        <f aca="false">G29*(E29-E28)</f>
        <v>-29.8709875281578</v>
      </c>
      <c r="R29" s="85" t="n">
        <f aca="false">AA28+Q29+P29</f>
        <v>147.965174129294</v>
      </c>
      <c r="S29" s="86" t="n">
        <f aca="false">IF(ABS(O29)&gt;Pos_Limit,1,0)</f>
        <v>0</v>
      </c>
      <c r="T29" s="86" t="n">
        <f aca="false">IF(AND(AB28=0,R29&lt;=-Loss_Limit),1,0)</f>
        <v>0</v>
      </c>
      <c r="U29" s="84" t="str">
        <f aca="false">IF(T29=1,"LOSS LIMIT",IF(S29=1,"POSITION LIMIT",""))</f>
        <v/>
      </c>
      <c r="V29" s="81" t="n">
        <f aca="false">IF(T29=1,-O29,IF(S29=1,-(O29-SIGN(O29)*Hedge_Target),0))</f>
        <v>0</v>
      </c>
      <c r="W29" s="45" t="n">
        <f aca="false">IF(V29&gt;0,E29+Hedge_Cost_Ticks*Tick,IF(V29&lt;0,E29-Hedge_Cost_Ticks*Tick,0))</f>
        <v>0</v>
      </c>
      <c r="X29" s="85" t="n">
        <f aca="false">-ABS(V29)*Hedge_Cost_Ticks*Tick</f>
        <v>-0</v>
      </c>
      <c r="Y29" s="81" t="n">
        <f aca="false">O29+V29</f>
        <v>1000000</v>
      </c>
      <c r="Z29" s="85" t="n">
        <f aca="false">Q29+P29+X29</f>
        <v>-29.8709875281578</v>
      </c>
      <c r="AA29" s="85" t="n">
        <f aca="false">AA28+Z29</f>
        <v>147.965174129294</v>
      </c>
      <c r="AB29" s="79" t="n">
        <f aca="false">IF(Halt_On_Loss=1,MAX(AB28,T29),0)</f>
        <v>0</v>
      </c>
      <c r="AC29" s="85" t="n">
        <f aca="false">Y29*E29</f>
        <v>1278547.96517413</v>
      </c>
    </row>
    <row r="30" customFormat="false" ht="15" hidden="false" customHeight="false" outlineLevel="0" collapsed="false">
      <c r="A30" s="79" t="n">
        <f aca="false">A29+1</f>
        <v>24</v>
      </c>
      <c r="B30" s="80" t="n">
        <v>-1.3</v>
      </c>
      <c r="C30" s="50" t="s">
        <v>222</v>
      </c>
      <c r="D30" s="45" t="n">
        <f aca="false">D29+B30*Step_Vol_Ticks*Tick</f>
        <v>1.28368</v>
      </c>
      <c r="E30" s="45" t="n">
        <f aca="false">D30*(1+Rate_B*Tenor_Days/Basis_B)/(1+Rate_A*Tenor_Days/Basis_A)</f>
        <v>1.27815964233626</v>
      </c>
      <c r="F30" s="46" t="n">
        <f aca="false">(E30-D30)/Tick</f>
        <v>-55.2035766373571</v>
      </c>
      <c r="G30" s="81" t="n">
        <f aca="false">Y29</f>
        <v>1000000</v>
      </c>
      <c r="H30" s="82" t="n">
        <f aca="false">G30/Pos_Limit</f>
        <v>1</v>
      </c>
      <c r="I30" s="83" t="n">
        <f aca="false">-MAX(-1,MIN(1,H30))*Max_Skew_Ticks</f>
        <v>-3</v>
      </c>
      <c r="J30" s="45" t="n">
        <f aca="false">ROUND(E30/Tick+I30-Spread_Ticks/2,0)*Tick</f>
        <v>1.2776</v>
      </c>
      <c r="K30" s="45" t="n">
        <f aca="false">J30+Spread_Ticks*Tick</f>
        <v>1.2781</v>
      </c>
      <c r="L30" s="84" t="str">
        <f aca="false">IF(AB29=1,"HALTED","LIVE")</f>
        <v>LIVE</v>
      </c>
      <c r="M30" s="81" t="n">
        <f aca="false">IF(L30="LIVE",IF(C30="BUY",-Clip_Size,IF(C30="SELL",Clip_Size,0)),0)</f>
        <v>250000</v>
      </c>
      <c r="N30" s="45" t="n">
        <f aca="false">IF(M30&lt;0,K30,IF(M30&gt;0,J30,0))</f>
        <v>1.2776</v>
      </c>
      <c r="O30" s="81" t="n">
        <f aca="false">G30+M30</f>
        <v>1250000</v>
      </c>
      <c r="P30" s="85" t="n">
        <f aca="false">IF(M30&lt;0,(K30-E30)*ABS(M30),IF(M30&gt;0,(E30-J30)*M30,0))</f>
        <v>139.910584066039</v>
      </c>
      <c r="Q30" s="85" t="n">
        <f aca="false">G30*(E30-E29)</f>
        <v>-388.322837865163</v>
      </c>
      <c r="R30" s="85" t="n">
        <f aca="false">AA29+Q30+P30</f>
        <v>-100.44707966983</v>
      </c>
      <c r="S30" s="86" t="n">
        <f aca="false">IF(ABS(O30)&gt;Pos_Limit,1,0)</f>
        <v>1</v>
      </c>
      <c r="T30" s="86" t="n">
        <f aca="false">IF(AND(AB29=0,R30&lt;=-Loss_Limit),1,0)</f>
        <v>0</v>
      </c>
      <c r="U30" s="84" t="str">
        <f aca="false">IF(T30=1,"LOSS LIMIT",IF(S30=1,"POSITION LIMIT",""))</f>
        <v>POSITION LIMIT</v>
      </c>
      <c r="V30" s="81" t="n">
        <f aca="false">IF(T30=1,-O30,IF(S30=1,-(O30-SIGN(O30)*Hedge_Target),0))</f>
        <v>-1250000</v>
      </c>
      <c r="W30" s="45" t="n">
        <f aca="false">IF(V30&gt;0,E30+Hedge_Cost_Ticks*Tick,IF(V30&lt;0,E30-Hedge_Cost_Ticks*Tick,0))</f>
        <v>1.27805964233626</v>
      </c>
      <c r="X30" s="85" t="n">
        <f aca="false">-ABS(V30)*Hedge_Cost_Ticks*Tick</f>
        <v>-125</v>
      </c>
      <c r="Y30" s="81" t="n">
        <f aca="false">O30+V30</f>
        <v>0</v>
      </c>
      <c r="Z30" s="85" t="n">
        <f aca="false">Q30+P30+X30</f>
        <v>-373.412253799124</v>
      </c>
      <c r="AA30" s="85" t="n">
        <f aca="false">AA29+Z30</f>
        <v>-225.44707966983</v>
      </c>
      <c r="AB30" s="79" t="n">
        <f aca="false">IF(Halt_On_Loss=1,MAX(AB29,T30),0)</f>
        <v>0</v>
      </c>
      <c r="AC30" s="85" t="n">
        <f aca="false">Y30*E30</f>
        <v>0</v>
      </c>
    </row>
    <row r="31" customFormat="false" ht="15" hidden="false" customHeight="false" outlineLevel="0" collapsed="false">
      <c r="A31" s="79" t="n">
        <f aca="false">A30+1</f>
        <v>25</v>
      </c>
      <c r="B31" s="80" t="n">
        <v>0.4</v>
      </c>
      <c r="C31" s="50" t="s">
        <v>222</v>
      </c>
      <c r="D31" s="45" t="n">
        <f aca="false">D30+B31*Step_Vol_Ticks*Tick</f>
        <v>1.2838</v>
      </c>
      <c r="E31" s="45" t="n">
        <f aca="false">D31*(1+Rate_B*Tenor_Days/Basis_B)/(1+Rate_A*Tenor_Days/Basis_A)</f>
        <v>1.27827912628638</v>
      </c>
      <c r="F31" s="46" t="n">
        <f aca="false">(E31-D31)/Tick</f>
        <v>-55.2087371362342</v>
      </c>
      <c r="G31" s="81" t="n">
        <f aca="false">Y30</f>
        <v>0</v>
      </c>
      <c r="H31" s="82" t="n">
        <f aca="false">G31/Pos_Limit</f>
        <v>0</v>
      </c>
      <c r="I31" s="83" t="n">
        <f aca="false">-MAX(-1,MIN(1,H31))*Max_Skew_Ticks</f>
        <v>-0</v>
      </c>
      <c r="J31" s="45" t="n">
        <f aca="false">ROUND(E31/Tick+I31-Spread_Ticks/2,0)*Tick</f>
        <v>1.278</v>
      </c>
      <c r="K31" s="45" t="n">
        <f aca="false">J31+Spread_Ticks*Tick</f>
        <v>1.2785</v>
      </c>
      <c r="L31" s="84" t="str">
        <f aca="false">IF(AB30=1,"HALTED","LIVE")</f>
        <v>LIVE</v>
      </c>
      <c r="M31" s="81" t="n">
        <f aca="false">IF(L31="LIVE",IF(C31="BUY",-Clip_Size,IF(C31="SELL",Clip_Size,0)),0)</f>
        <v>250000</v>
      </c>
      <c r="N31" s="45" t="n">
        <f aca="false">IF(M31&lt;0,K31,IF(M31&gt;0,J31,0))</f>
        <v>1.278</v>
      </c>
      <c r="O31" s="81" t="n">
        <f aca="false">G31+M31</f>
        <v>250000</v>
      </c>
      <c r="P31" s="85" t="n">
        <f aca="false">IF(M31&lt;0,(K31-E31)*ABS(M31),IF(M31&gt;0,(E31-J31)*M31,0))</f>
        <v>69.7815715940964</v>
      </c>
      <c r="Q31" s="85" t="n">
        <f aca="false">G31*(E31-E30)</f>
        <v>0</v>
      </c>
      <c r="R31" s="85" t="n">
        <f aca="false">AA30+Q31+P31</f>
        <v>-155.665508075733</v>
      </c>
      <c r="S31" s="86" t="n">
        <f aca="false">IF(ABS(O31)&gt;Pos_Limit,1,0)</f>
        <v>0</v>
      </c>
      <c r="T31" s="86" t="n">
        <f aca="false">IF(AND(AB30=0,R31&lt;=-Loss_Limit),1,0)</f>
        <v>0</v>
      </c>
      <c r="U31" s="84" t="str">
        <f aca="false">IF(T31=1,"LOSS LIMIT",IF(S31=1,"POSITION LIMIT",""))</f>
        <v/>
      </c>
      <c r="V31" s="81" t="n">
        <f aca="false">IF(T31=1,-O31,IF(S31=1,-(O31-SIGN(O31)*Hedge_Target),0))</f>
        <v>0</v>
      </c>
      <c r="W31" s="45" t="n">
        <f aca="false">IF(V31&gt;0,E31+Hedge_Cost_Ticks*Tick,IF(V31&lt;0,E31-Hedge_Cost_Ticks*Tick,0))</f>
        <v>0</v>
      </c>
      <c r="X31" s="85" t="n">
        <f aca="false">-ABS(V31)*Hedge_Cost_Ticks*Tick</f>
        <v>-0</v>
      </c>
      <c r="Y31" s="81" t="n">
        <f aca="false">O31+V31</f>
        <v>250000</v>
      </c>
      <c r="Z31" s="85" t="n">
        <f aca="false">Q31+P31+X31</f>
        <v>69.7815715940964</v>
      </c>
      <c r="AA31" s="85" t="n">
        <f aca="false">AA30+Z31</f>
        <v>-155.665508075733</v>
      </c>
      <c r="AB31" s="79" t="n">
        <f aca="false">IF(Halt_On_Loss=1,MAX(AB30,T31),0)</f>
        <v>0</v>
      </c>
      <c r="AC31" s="85" t="n">
        <f aca="false">Y31*E31</f>
        <v>319569.781571594</v>
      </c>
    </row>
    <row r="32" customFormat="false" ht="15" hidden="false" customHeight="false" outlineLevel="0" collapsed="false">
      <c r="A32" s="79" t="n">
        <f aca="false">A31+1</f>
        <v>26</v>
      </c>
      <c r="B32" s="80" t="n">
        <v>0.7</v>
      </c>
      <c r="C32" s="50" t="s">
        <v>222</v>
      </c>
      <c r="D32" s="45" t="n">
        <f aca="false">D31+B32*Step_Vol_Ticks*Tick</f>
        <v>1.28401</v>
      </c>
      <c r="E32" s="45" t="n">
        <f aca="false">D32*(1+Rate_B*Tenor_Days/Basis_B)/(1+Rate_A*Tenor_Days/Basis_A)</f>
        <v>1.27848822319907</v>
      </c>
      <c r="F32" s="46" t="n">
        <f aca="false">(E32-D32)/Tick</f>
        <v>-55.2177680092658</v>
      </c>
      <c r="G32" s="81" t="n">
        <f aca="false">Y31</f>
        <v>250000</v>
      </c>
      <c r="H32" s="82" t="n">
        <f aca="false">G32/Pos_Limit</f>
        <v>0.25</v>
      </c>
      <c r="I32" s="83" t="n">
        <f aca="false">-MAX(-1,MIN(1,H32))*Max_Skew_Ticks</f>
        <v>-0.75</v>
      </c>
      <c r="J32" s="45" t="n">
        <f aca="false">ROUND(E32/Tick+I32-Spread_Ticks/2,0)*Tick</f>
        <v>1.2782</v>
      </c>
      <c r="K32" s="45" t="n">
        <f aca="false">J32+Spread_Ticks*Tick</f>
        <v>1.2787</v>
      </c>
      <c r="L32" s="84" t="str">
        <f aca="false">IF(AB31=1,"HALTED","LIVE")</f>
        <v>LIVE</v>
      </c>
      <c r="M32" s="81" t="n">
        <f aca="false">IF(L32="LIVE",IF(C32="BUY",-Clip_Size,IF(C32="SELL",Clip_Size,0)),0)</f>
        <v>250000</v>
      </c>
      <c r="N32" s="45" t="n">
        <f aca="false">IF(M32&lt;0,K32,IF(M32&gt;0,J32,0))</f>
        <v>1.2782</v>
      </c>
      <c r="O32" s="81" t="n">
        <f aca="false">G32+M32</f>
        <v>500000</v>
      </c>
      <c r="P32" s="85" t="n">
        <f aca="false">IF(M32&lt;0,(K32-E32)*ABS(M32),IF(M32&gt;0,(E32-J32)*M32,0))</f>
        <v>72.0557997683224</v>
      </c>
      <c r="Q32" s="85" t="n">
        <f aca="false">G32*(E32-E31)</f>
        <v>52.2742281742206</v>
      </c>
      <c r="R32" s="85" t="n">
        <f aca="false">AA31+Q32+P32</f>
        <v>-31.3354801331905</v>
      </c>
      <c r="S32" s="86" t="n">
        <f aca="false">IF(ABS(O32)&gt;Pos_Limit,1,0)</f>
        <v>0</v>
      </c>
      <c r="T32" s="86" t="n">
        <f aca="false">IF(AND(AB31=0,R32&lt;=-Loss_Limit),1,0)</f>
        <v>0</v>
      </c>
      <c r="U32" s="84" t="str">
        <f aca="false">IF(T32=1,"LOSS LIMIT",IF(S32=1,"POSITION LIMIT",""))</f>
        <v/>
      </c>
      <c r="V32" s="81" t="n">
        <f aca="false">IF(T32=1,-O32,IF(S32=1,-(O32-SIGN(O32)*Hedge_Target),0))</f>
        <v>0</v>
      </c>
      <c r="W32" s="45" t="n">
        <f aca="false">IF(V32&gt;0,E32+Hedge_Cost_Ticks*Tick,IF(V32&lt;0,E32-Hedge_Cost_Ticks*Tick,0))</f>
        <v>0</v>
      </c>
      <c r="X32" s="85" t="n">
        <f aca="false">-ABS(V32)*Hedge_Cost_Ticks*Tick</f>
        <v>-0</v>
      </c>
      <c r="Y32" s="81" t="n">
        <f aca="false">O32+V32</f>
        <v>500000</v>
      </c>
      <c r="Z32" s="85" t="n">
        <f aca="false">Q32+P32+X32</f>
        <v>124.330027942543</v>
      </c>
      <c r="AA32" s="85" t="n">
        <f aca="false">AA31+Z32</f>
        <v>-31.3354801331905</v>
      </c>
      <c r="AB32" s="79" t="n">
        <f aca="false">IF(Halt_On_Loss=1,MAX(AB31,T32),0)</f>
        <v>0</v>
      </c>
      <c r="AC32" s="85" t="n">
        <f aca="false">Y32*E32</f>
        <v>639244.111599537</v>
      </c>
    </row>
    <row r="33" customFormat="false" ht="15" hidden="false" customHeight="false" outlineLevel="0" collapsed="false">
      <c r="A33" s="79" t="n">
        <f aca="false">A32+1</f>
        <v>27</v>
      </c>
      <c r="B33" s="80" t="n">
        <v>-1.3</v>
      </c>
      <c r="C33" s="50" t="s">
        <v>222</v>
      </c>
      <c r="D33" s="45" t="n">
        <f aca="false">D32+B33*Step_Vol_Ticks*Tick</f>
        <v>1.28362</v>
      </c>
      <c r="E33" s="45" t="n">
        <f aca="false">D33*(1+Rate_B*Tenor_Days/Basis_B)/(1+Rate_A*Tenor_Days/Basis_A)</f>
        <v>1.27809990036121</v>
      </c>
      <c r="F33" s="46" t="n">
        <f aca="false">(E33-D33)/Tick</f>
        <v>-55.2009963879208</v>
      </c>
      <c r="G33" s="81" t="n">
        <f aca="false">Y32</f>
        <v>500000</v>
      </c>
      <c r="H33" s="82" t="n">
        <f aca="false">G33/Pos_Limit</f>
        <v>0.5</v>
      </c>
      <c r="I33" s="83" t="n">
        <f aca="false">-MAX(-1,MIN(1,H33))*Max_Skew_Ticks</f>
        <v>-1.5</v>
      </c>
      <c r="J33" s="45" t="n">
        <f aca="false">ROUND(E33/Tick+I33-Spread_Ticks/2,0)*Tick</f>
        <v>1.2777</v>
      </c>
      <c r="K33" s="45" t="n">
        <f aca="false">J33+Spread_Ticks*Tick</f>
        <v>1.2782</v>
      </c>
      <c r="L33" s="84" t="str">
        <f aca="false">IF(AB32=1,"HALTED","LIVE")</f>
        <v>LIVE</v>
      </c>
      <c r="M33" s="81" t="n">
        <f aca="false">IF(L33="LIVE",IF(C33="BUY",-Clip_Size,IF(C33="SELL",Clip_Size,0)),0)</f>
        <v>250000</v>
      </c>
      <c r="N33" s="45" t="n">
        <f aca="false">IF(M33&lt;0,K33,IF(M33&gt;0,J33,0))</f>
        <v>1.2777</v>
      </c>
      <c r="O33" s="81" t="n">
        <f aca="false">G33+M33</f>
        <v>750000</v>
      </c>
      <c r="P33" s="85" t="n">
        <f aca="false">IF(M33&lt;0,(K33-E33)*ABS(M33),IF(M33&gt;0,(E33-J33)*M33,0))</f>
        <v>99.9750903019625</v>
      </c>
      <c r="Q33" s="85" t="n">
        <f aca="false">G33*(E33-E32)</f>
        <v>-194.161418932692</v>
      </c>
      <c r="R33" s="85" t="n">
        <f aca="false">AA32+Q33+P33</f>
        <v>-125.52180876392</v>
      </c>
      <c r="S33" s="86" t="n">
        <f aca="false">IF(ABS(O33)&gt;Pos_Limit,1,0)</f>
        <v>0</v>
      </c>
      <c r="T33" s="86" t="n">
        <f aca="false">IF(AND(AB32=0,R33&lt;=-Loss_Limit),1,0)</f>
        <v>0</v>
      </c>
      <c r="U33" s="84" t="str">
        <f aca="false">IF(T33=1,"LOSS LIMIT",IF(S33=1,"POSITION LIMIT",""))</f>
        <v/>
      </c>
      <c r="V33" s="81" t="n">
        <f aca="false">IF(T33=1,-O33,IF(S33=1,-(O33-SIGN(O33)*Hedge_Target),0))</f>
        <v>0</v>
      </c>
      <c r="W33" s="45" t="n">
        <f aca="false">IF(V33&gt;0,E33+Hedge_Cost_Ticks*Tick,IF(V33&lt;0,E33-Hedge_Cost_Ticks*Tick,0))</f>
        <v>0</v>
      </c>
      <c r="X33" s="85" t="n">
        <f aca="false">-ABS(V33)*Hedge_Cost_Ticks*Tick</f>
        <v>-0</v>
      </c>
      <c r="Y33" s="81" t="n">
        <f aca="false">O33+V33</f>
        <v>750000</v>
      </c>
      <c r="Z33" s="85" t="n">
        <f aca="false">Q33+P33+X33</f>
        <v>-94.1863286307299</v>
      </c>
      <c r="AA33" s="85" t="n">
        <f aca="false">AA32+Z33</f>
        <v>-125.52180876392</v>
      </c>
      <c r="AB33" s="79" t="n">
        <f aca="false">IF(Halt_On_Loss=1,MAX(AB32,T33),0)</f>
        <v>0</v>
      </c>
      <c r="AC33" s="85" t="n">
        <f aca="false">Y33*E33</f>
        <v>958574.925270906</v>
      </c>
    </row>
    <row r="34" customFormat="false" ht="15" hidden="false" customHeight="false" outlineLevel="0" collapsed="false">
      <c r="A34" s="79" t="n">
        <f aca="false">A33+1</f>
        <v>28</v>
      </c>
      <c r="B34" s="80" t="n">
        <v>-1.5</v>
      </c>
      <c r="C34" s="50" t="s">
        <v>222</v>
      </c>
      <c r="D34" s="45" t="n">
        <f aca="false">D33+B34*Step_Vol_Ticks*Tick</f>
        <v>1.28317</v>
      </c>
      <c r="E34" s="45" t="n">
        <f aca="false">D34*(1+Rate_B*Tenor_Days/Basis_B)/(1+Rate_A*Tenor_Days/Basis_A)</f>
        <v>1.27765183554829</v>
      </c>
      <c r="F34" s="46" t="n">
        <f aca="false">(E34-D34)/Tick</f>
        <v>-55.1816445171394</v>
      </c>
      <c r="G34" s="81" t="n">
        <f aca="false">Y33</f>
        <v>750000</v>
      </c>
      <c r="H34" s="82" t="n">
        <f aca="false">G34/Pos_Limit</f>
        <v>0.75</v>
      </c>
      <c r="I34" s="83" t="n">
        <f aca="false">-MAX(-1,MIN(1,H34))*Max_Skew_Ticks</f>
        <v>-2.25</v>
      </c>
      <c r="J34" s="45" t="n">
        <f aca="false">ROUND(E34/Tick+I34-Spread_Ticks/2,0)*Tick</f>
        <v>1.2772</v>
      </c>
      <c r="K34" s="45" t="n">
        <f aca="false">J34+Spread_Ticks*Tick</f>
        <v>1.2777</v>
      </c>
      <c r="L34" s="84" t="str">
        <f aca="false">IF(AB33=1,"HALTED","LIVE")</f>
        <v>LIVE</v>
      </c>
      <c r="M34" s="81" t="n">
        <f aca="false">IF(L34="LIVE",IF(C34="BUY",-Clip_Size,IF(C34="SELL",Clip_Size,0)),0)</f>
        <v>250000</v>
      </c>
      <c r="N34" s="45" t="n">
        <f aca="false">IF(M34&lt;0,K34,IF(M34&gt;0,J34,0))</f>
        <v>1.2772</v>
      </c>
      <c r="O34" s="81" t="n">
        <f aca="false">G34+M34</f>
        <v>1000000</v>
      </c>
      <c r="P34" s="85" t="n">
        <f aca="false">IF(M34&lt;0,(K34-E34)*ABS(M34),IF(M34&gt;0,(E34-J34)*M34,0))</f>
        <v>112.958887071468</v>
      </c>
      <c r="Q34" s="85" t="n">
        <f aca="false">G34*(E34-E33)</f>
        <v>-336.048609691442</v>
      </c>
      <c r="R34" s="85" t="n">
        <f aca="false">AA33+Q34+P34</f>
        <v>-348.611531383894</v>
      </c>
      <c r="S34" s="86" t="n">
        <f aca="false">IF(ABS(O34)&gt;Pos_Limit,1,0)</f>
        <v>0</v>
      </c>
      <c r="T34" s="86" t="n">
        <f aca="false">IF(AND(AB33=0,R34&lt;=-Loss_Limit),1,0)</f>
        <v>0</v>
      </c>
      <c r="U34" s="84" t="str">
        <f aca="false">IF(T34=1,"LOSS LIMIT",IF(S34=1,"POSITION LIMIT",""))</f>
        <v/>
      </c>
      <c r="V34" s="81" t="n">
        <f aca="false">IF(T34=1,-O34,IF(S34=1,-(O34-SIGN(O34)*Hedge_Target),0))</f>
        <v>0</v>
      </c>
      <c r="W34" s="45" t="n">
        <f aca="false">IF(V34&gt;0,E34+Hedge_Cost_Ticks*Tick,IF(V34&lt;0,E34-Hedge_Cost_Ticks*Tick,0))</f>
        <v>0</v>
      </c>
      <c r="X34" s="85" t="n">
        <f aca="false">-ABS(V34)*Hedge_Cost_Ticks*Tick</f>
        <v>-0</v>
      </c>
      <c r="Y34" s="81" t="n">
        <f aca="false">O34+V34</f>
        <v>1000000</v>
      </c>
      <c r="Z34" s="85" t="n">
        <f aca="false">Q34+P34+X34</f>
        <v>-223.089722619974</v>
      </c>
      <c r="AA34" s="85" t="n">
        <f aca="false">AA33+Z34</f>
        <v>-348.611531383894</v>
      </c>
      <c r="AB34" s="79" t="n">
        <f aca="false">IF(Halt_On_Loss=1,MAX(AB33,T34),0)</f>
        <v>0</v>
      </c>
      <c r="AC34" s="85" t="n">
        <f aca="false">Y34*E34</f>
        <v>1277651.83554829</v>
      </c>
    </row>
    <row r="35" customFormat="false" ht="15" hidden="false" customHeight="false" outlineLevel="0" collapsed="false">
      <c r="A35" s="79" t="n">
        <f aca="false">A34+1</f>
        <v>29</v>
      </c>
      <c r="B35" s="80" t="n">
        <v>-1.9</v>
      </c>
      <c r="C35" s="50" t="s">
        <v>222</v>
      </c>
      <c r="D35" s="45" t="n">
        <f aca="false">D34+B35*Step_Vol_Ticks*Tick</f>
        <v>1.2826</v>
      </c>
      <c r="E35" s="45" t="n">
        <f aca="false">D35*(1+Rate_B*Tenor_Days/Basis_B)/(1+Rate_A*Tenor_Days/Basis_A)</f>
        <v>1.27708428678525</v>
      </c>
      <c r="F35" s="46" t="n">
        <f aca="false">(E35-D35)/Tick</f>
        <v>-55.1571321474786</v>
      </c>
      <c r="G35" s="81" t="n">
        <f aca="false">Y34</f>
        <v>1000000</v>
      </c>
      <c r="H35" s="82" t="n">
        <f aca="false">G35/Pos_Limit</f>
        <v>1</v>
      </c>
      <c r="I35" s="83" t="n">
        <f aca="false">-MAX(-1,MIN(1,H35))*Max_Skew_Ticks</f>
        <v>-3</v>
      </c>
      <c r="J35" s="45" t="n">
        <f aca="false">ROUND(E35/Tick+I35-Spread_Ticks/2,0)*Tick</f>
        <v>1.2765</v>
      </c>
      <c r="K35" s="45" t="n">
        <f aca="false">J35+Spread_Ticks*Tick</f>
        <v>1.277</v>
      </c>
      <c r="L35" s="84" t="str">
        <f aca="false">IF(AB34=1,"HALTED","LIVE")</f>
        <v>LIVE</v>
      </c>
      <c r="M35" s="81" t="n">
        <f aca="false">IF(L35="LIVE",IF(C35="BUY",-Clip_Size,IF(C35="SELL",Clip_Size,0)),0)</f>
        <v>250000</v>
      </c>
      <c r="N35" s="45" t="n">
        <f aca="false">IF(M35&lt;0,K35,IF(M35&gt;0,J35,0))</f>
        <v>1.2765</v>
      </c>
      <c r="O35" s="81" t="n">
        <f aca="false">G35+M35</f>
        <v>1250000</v>
      </c>
      <c r="P35" s="85" t="n">
        <f aca="false">IF(M35&lt;0,(K35-E35)*ABS(M35),IF(M35&gt;0,(E35-J35)*M35,0))</f>
        <v>146.071696313033</v>
      </c>
      <c r="Q35" s="85" t="n">
        <f aca="false">G35*(E35-E34)</f>
        <v>-567.548763033887</v>
      </c>
      <c r="R35" s="85" t="n">
        <f aca="false">AA34+Q35+P35</f>
        <v>-770.088598104748</v>
      </c>
      <c r="S35" s="86" t="n">
        <f aca="false">IF(ABS(O35)&gt;Pos_Limit,1,0)</f>
        <v>1</v>
      </c>
      <c r="T35" s="86" t="n">
        <f aca="false">IF(AND(AB34=0,R35&lt;=-Loss_Limit),1,0)</f>
        <v>0</v>
      </c>
      <c r="U35" s="84" t="str">
        <f aca="false">IF(T35=1,"LOSS LIMIT",IF(S35=1,"POSITION LIMIT",""))</f>
        <v>POSITION LIMIT</v>
      </c>
      <c r="V35" s="81" t="n">
        <f aca="false">IF(T35=1,-O35,IF(S35=1,-(O35-SIGN(O35)*Hedge_Target),0))</f>
        <v>-1250000</v>
      </c>
      <c r="W35" s="45" t="n">
        <f aca="false">IF(V35&gt;0,E35+Hedge_Cost_Ticks*Tick,IF(V35&lt;0,E35-Hedge_Cost_Ticks*Tick,0))</f>
        <v>1.27698428678525</v>
      </c>
      <c r="X35" s="85" t="n">
        <f aca="false">-ABS(V35)*Hedge_Cost_Ticks*Tick</f>
        <v>-125</v>
      </c>
      <c r="Y35" s="81" t="n">
        <f aca="false">O35+V35</f>
        <v>0</v>
      </c>
      <c r="Z35" s="85" t="n">
        <f aca="false">Q35+P35+X35</f>
        <v>-546.477066720855</v>
      </c>
      <c r="AA35" s="85" t="n">
        <f aca="false">AA34+Z35</f>
        <v>-895.088598104748</v>
      </c>
      <c r="AB35" s="79" t="n">
        <f aca="false">IF(Halt_On_Loss=1,MAX(AB34,T35),0)</f>
        <v>0</v>
      </c>
      <c r="AC35" s="85" t="n">
        <f aca="false">Y35*E35</f>
        <v>0</v>
      </c>
    </row>
    <row r="36" customFormat="false" ht="15" hidden="false" customHeight="false" outlineLevel="0" collapsed="false">
      <c r="A36" s="79" t="n">
        <f aca="false">A35+1</f>
        <v>30</v>
      </c>
      <c r="B36" s="80" t="n">
        <v>-1.5</v>
      </c>
      <c r="C36" s="50" t="s">
        <v>220</v>
      </c>
      <c r="D36" s="45" t="n">
        <f aca="false">D35+B36*Step_Vol_Ticks*Tick</f>
        <v>1.28215</v>
      </c>
      <c r="E36" s="45" t="n">
        <f aca="false">D36*(1+Rate_B*Tenor_Days/Basis_B)/(1+Rate_A*Tenor_Days/Basis_A)</f>
        <v>1.27663622197233</v>
      </c>
      <c r="F36" s="46" t="n">
        <f aca="false">(E36-D36)/Tick</f>
        <v>-55.1377802766972</v>
      </c>
      <c r="G36" s="81" t="n">
        <f aca="false">Y35</f>
        <v>0</v>
      </c>
      <c r="H36" s="82" t="n">
        <f aca="false">G36/Pos_Limit</f>
        <v>0</v>
      </c>
      <c r="I36" s="83" t="n">
        <f aca="false">-MAX(-1,MIN(1,H36))*Max_Skew_Ticks</f>
        <v>-0</v>
      </c>
      <c r="J36" s="45" t="n">
        <f aca="false">ROUND(E36/Tick+I36-Spread_Ticks/2,0)*Tick</f>
        <v>1.2764</v>
      </c>
      <c r="K36" s="45" t="n">
        <f aca="false">J36+Spread_Ticks*Tick</f>
        <v>1.2769</v>
      </c>
      <c r="L36" s="84" t="str">
        <f aca="false">IF(AB35=1,"HALTED","LIVE")</f>
        <v>LIVE</v>
      </c>
      <c r="M36" s="81" t="n">
        <f aca="false">IF(L36="LIVE",IF(C36="BUY",-Clip_Size,IF(C36="SELL",Clip_Size,0)),0)</f>
        <v>0</v>
      </c>
      <c r="N36" s="45" t="n">
        <f aca="false">IF(M36&lt;0,K36,IF(M36&gt;0,J36,0))</f>
        <v>0</v>
      </c>
      <c r="O36" s="81" t="n">
        <f aca="false">G36+M36</f>
        <v>0</v>
      </c>
      <c r="P36" s="85" t="n">
        <f aca="false">IF(M36&lt;0,(K36-E36)*ABS(M36),IF(M36&gt;0,(E36-J36)*M36,0))</f>
        <v>0</v>
      </c>
      <c r="Q36" s="85" t="n">
        <f aca="false">G36*(E36-E35)</f>
        <v>-0</v>
      </c>
      <c r="R36" s="85" t="n">
        <f aca="false">AA35+Q36+P36</f>
        <v>-895.088598104748</v>
      </c>
      <c r="S36" s="86" t="n">
        <f aca="false">IF(ABS(O36)&gt;Pos_Limit,1,0)</f>
        <v>0</v>
      </c>
      <c r="T36" s="86" t="n">
        <f aca="false">IF(AND(AB35=0,R36&lt;=-Loss_Limit),1,0)</f>
        <v>0</v>
      </c>
      <c r="U36" s="84" t="str">
        <f aca="false">IF(T36=1,"LOSS LIMIT",IF(S36=1,"POSITION LIMIT",""))</f>
        <v/>
      </c>
      <c r="V36" s="81" t="n">
        <f aca="false">IF(T36=1,-O36,IF(S36=1,-(O36-SIGN(O36)*Hedge_Target),0))</f>
        <v>0</v>
      </c>
      <c r="W36" s="45" t="n">
        <f aca="false">IF(V36&gt;0,E36+Hedge_Cost_Ticks*Tick,IF(V36&lt;0,E36-Hedge_Cost_Ticks*Tick,0))</f>
        <v>0</v>
      </c>
      <c r="X36" s="85" t="n">
        <f aca="false">-ABS(V36)*Hedge_Cost_Ticks*Tick</f>
        <v>-0</v>
      </c>
      <c r="Y36" s="81" t="n">
        <f aca="false">O36+V36</f>
        <v>0</v>
      </c>
      <c r="Z36" s="85" t="n">
        <f aca="false">Q36+P36+X36</f>
        <v>0</v>
      </c>
      <c r="AA36" s="85" t="n">
        <f aca="false">AA35+Z36</f>
        <v>-895.088598104748</v>
      </c>
      <c r="AB36" s="79" t="n">
        <f aca="false">IF(Halt_On_Loss=1,MAX(AB35,T36),0)</f>
        <v>0</v>
      </c>
      <c r="AC36" s="85" t="n">
        <f aca="false">Y36*E36</f>
        <v>0</v>
      </c>
    </row>
    <row r="37" customFormat="false" ht="15" hidden="false" customHeight="false" outlineLevel="0" collapsed="false">
      <c r="A37" s="79" t="n">
        <f aca="false">A36+1</f>
        <v>31</v>
      </c>
      <c r="B37" s="80" t="n">
        <v>-0.8</v>
      </c>
      <c r="C37" s="50" t="s">
        <v>222</v>
      </c>
      <c r="D37" s="45" t="n">
        <f aca="false">D36+B37*Step_Vol_Ticks*Tick</f>
        <v>1.28191</v>
      </c>
      <c r="E37" s="45" t="n">
        <f aca="false">D37*(1+Rate_B*Tenor_Days/Basis_B)/(1+Rate_A*Tenor_Days/Basis_A)</f>
        <v>1.27639725407211</v>
      </c>
      <c r="F37" s="46" t="n">
        <f aca="false">(E37-D37)/Tick</f>
        <v>-55.1274592789452</v>
      </c>
      <c r="G37" s="81" t="n">
        <f aca="false">Y36</f>
        <v>0</v>
      </c>
      <c r="H37" s="82" t="n">
        <f aca="false">G37/Pos_Limit</f>
        <v>0</v>
      </c>
      <c r="I37" s="83" t="n">
        <f aca="false">-MAX(-1,MIN(1,H37))*Max_Skew_Ticks</f>
        <v>-0</v>
      </c>
      <c r="J37" s="45" t="n">
        <f aca="false">ROUND(E37/Tick+I37-Spread_Ticks/2,0)*Tick</f>
        <v>1.2761</v>
      </c>
      <c r="K37" s="45" t="n">
        <f aca="false">J37+Spread_Ticks*Tick</f>
        <v>1.2766</v>
      </c>
      <c r="L37" s="84" t="str">
        <f aca="false">IF(AB36=1,"HALTED","LIVE")</f>
        <v>LIVE</v>
      </c>
      <c r="M37" s="81" t="n">
        <f aca="false">IF(L37="LIVE",IF(C37="BUY",-Clip_Size,IF(C37="SELL",Clip_Size,0)),0)</f>
        <v>250000</v>
      </c>
      <c r="N37" s="45" t="n">
        <f aca="false">IF(M37&lt;0,K37,IF(M37&gt;0,J37,0))</f>
        <v>1.2761</v>
      </c>
      <c r="O37" s="81" t="n">
        <f aca="false">G37+M37</f>
        <v>250000</v>
      </c>
      <c r="P37" s="85" t="n">
        <f aca="false">IF(M37&lt;0,(K37-E37)*ABS(M37),IF(M37&gt;0,(E37-J37)*M37,0))</f>
        <v>74.3135180263366</v>
      </c>
      <c r="Q37" s="85" t="n">
        <f aca="false">G37*(E37-E36)</f>
        <v>-0</v>
      </c>
      <c r="R37" s="85" t="n">
        <f aca="false">AA36+Q37+P37</f>
        <v>-820.775080078412</v>
      </c>
      <c r="S37" s="86" t="n">
        <f aca="false">IF(ABS(O37)&gt;Pos_Limit,1,0)</f>
        <v>0</v>
      </c>
      <c r="T37" s="86" t="n">
        <f aca="false">IF(AND(AB36=0,R37&lt;=-Loss_Limit),1,0)</f>
        <v>0</v>
      </c>
      <c r="U37" s="84" t="str">
        <f aca="false">IF(T37=1,"LOSS LIMIT",IF(S37=1,"POSITION LIMIT",""))</f>
        <v/>
      </c>
      <c r="V37" s="81" t="n">
        <f aca="false">IF(T37=1,-O37,IF(S37=1,-(O37-SIGN(O37)*Hedge_Target),0))</f>
        <v>0</v>
      </c>
      <c r="W37" s="45" t="n">
        <f aca="false">IF(V37&gt;0,E37+Hedge_Cost_Ticks*Tick,IF(V37&lt;0,E37-Hedge_Cost_Ticks*Tick,0))</f>
        <v>0</v>
      </c>
      <c r="X37" s="85" t="n">
        <f aca="false">-ABS(V37)*Hedge_Cost_Ticks*Tick</f>
        <v>-0</v>
      </c>
      <c r="Y37" s="81" t="n">
        <f aca="false">O37+V37</f>
        <v>250000</v>
      </c>
      <c r="Z37" s="85" t="n">
        <f aca="false">Q37+P37+X37</f>
        <v>74.3135180263366</v>
      </c>
      <c r="AA37" s="85" t="n">
        <f aca="false">AA36+Z37</f>
        <v>-820.775080078412</v>
      </c>
      <c r="AB37" s="79" t="n">
        <f aca="false">IF(Halt_On_Loss=1,MAX(AB36,T37),0)</f>
        <v>0</v>
      </c>
      <c r="AC37" s="85" t="n">
        <f aca="false">Y37*E37</f>
        <v>319099.313518026</v>
      </c>
    </row>
    <row r="38" customFormat="false" ht="15" hidden="false" customHeight="false" outlineLevel="0" collapsed="false">
      <c r="A38" s="79" t="n">
        <f aca="false">A37+1</f>
        <v>32</v>
      </c>
      <c r="B38" s="80" t="n">
        <v>-0.5</v>
      </c>
      <c r="C38" s="50" t="s">
        <v>221</v>
      </c>
      <c r="D38" s="45" t="n">
        <f aca="false">D37+B38*Step_Vol_Ticks*Tick</f>
        <v>1.28176</v>
      </c>
      <c r="E38" s="45" t="n">
        <f aca="false">D38*(1+Rate_B*Tenor_Days/Basis_B)/(1+Rate_A*Tenor_Days/Basis_A)</f>
        <v>1.27624789913446</v>
      </c>
      <c r="F38" s="46" t="n">
        <f aca="false">(E38-D38)/Tick</f>
        <v>-55.12100865535</v>
      </c>
      <c r="G38" s="81" t="n">
        <f aca="false">Y37</f>
        <v>250000</v>
      </c>
      <c r="H38" s="82" t="n">
        <f aca="false">G38/Pos_Limit</f>
        <v>0.25</v>
      </c>
      <c r="I38" s="83" t="n">
        <f aca="false">-MAX(-1,MIN(1,H38))*Max_Skew_Ticks</f>
        <v>-0.75</v>
      </c>
      <c r="J38" s="45" t="n">
        <f aca="false">ROUND(E38/Tick+I38-Spread_Ticks/2,0)*Tick</f>
        <v>1.2759</v>
      </c>
      <c r="K38" s="45" t="n">
        <f aca="false">J38+Spread_Ticks*Tick</f>
        <v>1.2764</v>
      </c>
      <c r="L38" s="84" t="str">
        <f aca="false">IF(AB37=1,"HALTED","LIVE")</f>
        <v>LIVE</v>
      </c>
      <c r="M38" s="81" t="n">
        <f aca="false">IF(L38="LIVE",IF(C38="BUY",-Clip_Size,IF(C38="SELL",Clip_Size,0)),0)</f>
        <v>-250000</v>
      </c>
      <c r="N38" s="45" t="n">
        <f aca="false">IF(M38&lt;0,K38,IF(M38&gt;0,J38,0))</f>
        <v>1.2764</v>
      </c>
      <c r="O38" s="81" t="n">
        <f aca="false">G38+M38</f>
        <v>0</v>
      </c>
      <c r="P38" s="85" t="n">
        <f aca="false">IF(M38&lt;0,(K38-E38)*ABS(M38),IF(M38&gt;0,(E38-J38)*M38,0))</f>
        <v>38.0252163837969</v>
      </c>
      <c r="Q38" s="85" t="n">
        <f aca="false">G38*(E38-E37)</f>
        <v>-37.3387344101417</v>
      </c>
      <c r="R38" s="85" t="n">
        <f aca="false">AA37+Q38+P38</f>
        <v>-820.088598104757</v>
      </c>
      <c r="S38" s="86" t="n">
        <f aca="false">IF(ABS(O38)&gt;Pos_Limit,1,0)</f>
        <v>0</v>
      </c>
      <c r="T38" s="86" t="n">
        <f aca="false">IF(AND(AB37=0,R38&lt;=-Loss_Limit),1,0)</f>
        <v>0</v>
      </c>
      <c r="U38" s="84" t="str">
        <f aca="false">IF(T38=1,"LOSS LIMIT",IF(S38=1,"POSITION LIMIT",""))</f>
        <v/>
      </c>
      <c r="V38" s="81" t="n">
        <f aca="false">IF(T38=1,-O38,IF(S38=1,-(O38-SIGN(O38)*Hedge_Target),0))</f>
        <v>0</v>
      </c>
      <c r="W38" s="45" t="n">
        <f aca="false">IF(V38&gt;0,E38+Hedge_Cost_Ticks*Tick,IF(V38&lt;0,E38-Hedge_Cost_Ticks*Tick,0))</f>
        <v>0</v>
      </c>
      <c r="X38" s="85" t="n">
        <f aca="false">-ABS(V38)*Hedge_Cost_Ticks*Tick</f>
        <v>-0</v>
      </c>
      <c r="Y38" s="81" t="n">
        <f aca="false">O38+V38</f>
        <v>0</v>
      </c>
      <c r="Z38" s="85" t="n">
        <f aca="false">Q38+P38+X38</f>
        <v>0.686481973655177</v>
      </c>
      <c r="AA38" s="85" t="n">
        <f aca="false">AA37+Z38</f>
        <v>-820.088598104757</v>
      </c>
      <c r="AB38" s="79" t="n">
        <f aca="false">IF(Halt_On_Loss=1,MAX(AB37,T38),0)</f>
        <v>0</v>
      </c>
      <c r="AC38" s="85" t="n">
        <f aca="false">Y38*E38</f>
        <v>0</v>
      </c>
    </row>
    <row r="39" customFormat="false" ht="15" hidden="false" customHeight="false" outlineLevel="0" collapsed="false">
      <c r="A39" s="79" t="n">
        <f aca="false">A38+1</f>
        <v>33</v>
      </c>
      <c r="B39" s="80" t="n">
        <v>-1.5</v>
      </c>
      <c r="C39" s="50" t="s">
        <v>220</v>
      </c>
      <c r="D39" s="45" t="n">
        <f aca="false">D38+B39*Step_Vol_Ticks*Tick</f>
        <v>1.28131</v>
      </c>
      <c r="E39" s="45" t="n">
        <f aca="false">D39*(1+Rate_B*Tenor_Days/Basis_B)/(1+Rate_A*Tenor_Days/Basis_A)</f>
        <v>1.27579983432154</v>
      </c>
      <c r="F39" s="46" t="n">
        <f aca="false">(E39-D39)/Tick</f>
        <v>-55.1016567845686</v>
      </c>
      <c r="G39" s="81" t="n">
        <f aca="false">Y38</f>
        <v>0</v>
      </c>
      <c r="H39" s="82" t="n">
        <f aca="false">G39/Pos_Limit</f>
        <v>0</v>
      </c>
      <c r="I39" s="83" t="n">
        <f aca="false">-MAX(-1,MIN(1,H39))*Max_Skew_Ticks</f>
        <v>-0</v>
      </c>
      <c r="J39" s="45" t="n">
        <f aca="false">ROUND(E39/Tick+I39-Spread_Ticks/2,0)*Tick</f>
        <v>1.2755</v>
      </c>
      <c r="K39" s="45" t="n">
        <f aca="false">J39+Spread_Ticks*Tick</f>
        <v>1.276</v>
      </c>
      <c r="L39" s="84" t="str">
        <f aca="false">IF(AB38=1,"HALTED","LIVE")</f>
        <v>LIVE</v>
      </c>
      <c r="M39" s="81" t="n">
        <f aca="false">IF(L39="LIVE",IF(C39="BUY",-Clip_Size,IF(C39="SELL",Clip_Size,0)),0)</f>
        <v>0</v>
      </c>
      <c r="N39" s="45" t="n">
        <f aca="false">IF(M39&lt;0,K39,IF(M39&gt;0,J39,0))</f>
        <v>0</v>
      </c>
      <c r="O39" s="81" t="n">
        <f aca="false">G39+M39</f>
        <v>0</v>
      </c>
      <c r="P39" s="85" t="n">
        <f aca="false">IF(M39&lt;0,(K39-E39)*ABS(M39),IF(M39&gt;0,(E39-J39)*M39,0))</f>
        <v>0</v>
      </c>
      <c r="Q39" s="85" t="n">
        <f aca="false">G39*(E39-E38)</f>
        <v>-0</v>
      </c>
      <c r="R39" s="85" t="n">
        <f aca="false">AA38+Q39+P39</f>
        <v>-820.088598104757</v>
      </c>
      <c r="S39" s="86" t="n">
        <f aca="false">IF(ABS(O39)&gt;Pos_Limit,1,0)</f>
        <v>0</v>
      </c>
      <c r="T39" s="86" t="n">
        <f aca="false">IF(AND(AB38=0,R39&lt;=-Loss_Limit),1,0)</f>
        <v>0</v>
      </c>
      <c r="U39" s="84" t="str">
        <f aca="false">IF(T39=1,"LOSS LIMIT",IF(S39=1,"POSITION LIMIT",""))</f>
        <v/>
      </c>
      <c r="V39" s="81" t="n">
        <f aca="false">IF(T39=1,-O39,IF(S39=1,-(O39-SIGN(O39)*Hedge_Target),0))</f>
        <v>0</v>
      </c>
      <c r="W39" s="45" t="n">
        <f aca="false">IF(V39&gt;0,E39+Hedge_Cost_Ticks*Tick,IF(V39&lt;0,E39-Hedge_Cost_Ticks*Tick,0))</f>
        <v>0</v>
      </c>
      <c r="X39" s="85" t="n">
        <f aca="false">-ABS(V39)*Hedge_Cost_Ticks*Tick</f>
        <v>-0</v>
      </c>
      <c r="Y39" s="81" t="n">
        <f aca="false">O39+V39</f>
        <v>0</v>
      </c>
      <c r="Z39" s="85" t="n">
        <f aca="false">Q39+P39+X39</f>
        <v>0</v>
      </c>
      <c r="AA39" s="85" t="n">
        <f aca="false">AA38+Z39</f>
        <v>-820.088598104757</v>
      </c>
      <c r="AB39" s="79" t="n">
        <f aca="false">IF(Halt_On_Loss=1,MAX(AB38,T39),0)</f>
        <v>0</v>
      </c>
      <c r="AC39" s="85" t="n">
        <f aca="false">Y39*E39</f>
        <v>0</v>
      </c>
    </row>
    <row r="40" customFormat="false" ht="15" hidden="false" customHeight="false" outlineLevel="0" collapsed="false">
      <c r="A40" s="79" t="n">
        <f aca="false">A39+1</f>
        <v>34</v>
      </c>
      <c r="B40" s="80" t="n">
        <v>-0.3</v>
      </c>
      <c r="C40" s="50" t="s">
        <v>222</v>
      </c>
      <c r="D40" s="45" t="n">
        <f aca="false">D39+B40*Step_Vol_Ticks*Tick</f>
        <v>1.28122</v>
      </c>
      <c r="E40" s="45" t="n">
        <f aca="false">D40*(1+Rate_B*Tenor_Days/Basis_B)/(1+Rate_A*Tenor_Days/Basis_A)</f>
        <v>1.27571022135896</v>
      </c>
      <c r="F40" s="46" t="n">
        <f aca="false">(E40-D40)/Tick</f>
        <v>-55.0977864104119</v>
      </c>
      <c r="G40" s="81" t="n">
        <f aca="false">Y39</f>
        <v>0</v>
      </c>
      <c r="H40" s="82" t="n">
        <f aca="false">G40/Pos_Limit</f>
        <v>0</v>
      </c>
      <c r="I40" s="83" t="n">
        <f aca="false">-MAX(-1,MIN(1,H40))*Max_Skew_Ticks</f>
        <v>-0</v>
      </c>
      <c r="J40" s="45" t="n">
        <f aca="false">ROUND(E40/Tick+I40-Spread_Ticks/2,0)*Tick</f>
        <v>1.2755</v>
      </c>
      <c r="K40" s="45" t="n">
        <f aca="false">J40+Spread_Ticks*Tick</f>
        <v>1.276</v>
      </c>
      <c r="L40" s="84" t="str">
        <f aca="false">IF(AB39=1,"HALTED","LIVE")</f>
        <v>LIVE</v>
      </c>
      <c r="M40" s="81" t="n">
        <f aca="false">IF(L40="LIVE",IF(C40="BUY",-Clip_Size,IF(C40="SELL",Clip_Size,0)),0)</f>
        <v>250000</v>
      </c>
      <c r="N40" s="45" t="n">
        <f aca="false">IF(M40&lt;0,K40,IF(M40&gt;0,J40,0))</f>
        <v>1.2755</v>
      </c>
      <c r="O40" s="81" t="n">
        <f aca="false">G40+M40</f>
        <v>250000</v>
      </c>
      <c r="P40" s="85" t="n">
        <f aca="false">IF(M40&lt;0,(K40-E40)*ABS(M40),IF(M40&gt;0,(E40-J40)*M40,0))</f>
        <v>52.555339739635</v>
      </c>
      <c r="Q40" s="85" t="n">
        <f aca="false">G40*(E40-E39)</f>
        <v>-0</v>
      </c>
      <c r="R40" s="85" t="n">
        <f aca="false">AA39+Q40+P40</f>
        <v>-767.533258365122</v>
      </c>
      <c r="S40" s="86" t="n">
        <f aca="false">IF(ABS(O40)&gt;Pos_Limit,1,0)</f>
        <v>0</v>
      </c>
      <c r="T40" s="86" t="n">
        <f aca="false">IF(AND(AB39=0,R40&lt;=-Loss_Limit),1,0)</f>
        <v>0</v>
      </c>
      <c r="U40" s="84" t="str">
        <f aca="false">IF(T40=1,"LOSS LIMIT",IF(S40=1,"POSITION LIMIT",""))</f>
        <v/>
      </c>
      <c r="V40" s="81" t="n">
        <f aca="false">IF(T40=1,-O40,IF(S40=1,-(O40-SIGN(O40)*Hedge_Target),0))</f>
        <v>0</v>
      </c>
      <c r="W40" s="45" t="n">
        <f aca="false">IF(V40&gt;0,E40+Hedge_Cost_Ticks*Tick,IF(V40&lt;0,E40-Hedge_Cost_Ticks*Tick,0))</f>
        <v>0</v>
      </c>
      <c r="X40" s="85" t="n">
        <f aca="false">-ABS(V40)*Hedge_Cost_Ticks*Tick</f>
        <v>-0</v>
      </c>
      <c r="Y40" s="81" t="n">
        <f aca="false">O40+V40</f>
        <v>250000</v>
      </c>
      <c r="Z40" s="85" t="n">
        <f aca="false">Q40+P40+X40</f>
        <v>52.555339739635</v>
      </c>
      <c r="AA40" s="85" t="n">
        <f aca="false">AA39+Z40</f>
        <v>-767.533258365122</v>
      </c>
      <c r="AB40" s="79" t="n">
        <f aca="false">IF(Halt_On_Loss=1,MAX(AB39,T40),0)</f>
        <v>0</v>
      </c>
      <c r="AC40" s="85" t="n">
        <f aca="false">Y40*E40</f>
        <v>318927.55533974</v>
      </c>
    </row>
    <row r="41" customFormat="false" ht="15" hidden="false" customHeight="false" outlineLevel="0" collapsed="false">
      <c r="A41" s="79" t="n">
        <f aca="false">A40+1</f>
        <v>35</v>
      </c>
      <c r="B41" s="80" t="n">
        <v>-0.4</v>
      </c>
      <c r="C41" s="50" t="s">
        <v>220</v>
      </c>
      <c r="D41" s="45" t="n">
        <f aca="false">D40+B41*Step_Vol_Ticks*Tick</f>
        <v>1.2811</v>
      </c>
      <c r="E41" s="45" t="n">
        <f aca="false">D41*(1+Rate_B*Tenor_Days/Basis_B)/(1+Rate_A*Tenor_Days/Basis_A)</f>
        <v>1.27559073740885</v>
      </c>
      <c r="F41" s="46" t="n">
        <f aca="false">(E41-D41)/Tick</f>
        <v>-55.0926259115347</v>
      </c>
      <c r="G41" s="81" t="n">
        <f aca="false">Y40</f>
        <v>250000</v>
      </c>
      <c r="H41" s="82" t="n">
        <f aca="false">G41/Pos_Limit</f>
        <v>0.25</v>
      </c>
      <c r="I41" s="83" t="n">
        <f aca="false">-MAX(-1,MIN(1,H41))*Max_Skew_Ticks</f>
        <v>-0.75</v>
      </c>
      <c r="J41" s="45" t="n">
        <f aca="false">ROUND(E41/Tick+I41-Spread_Ticks/2,0)*Tick</f>
        <v>1.2753</v>
      </c>
      <c r="K41" s="45" t="n">
        <f aca="false">J41+Spread_Ticks*Tick</f>
        <v>1.2758</v>
      </c>
      <c r="L41" s="84" t="str">
        <f aca="false">IF(AB40=1,"HALTED","LIVE")</f>
        <v>LIVE</v>
      </c>
      <c r="M41" s="81" t="n">
        <f aca="false">IF(L41="LIVE",IF(C41="BUY",-Clip_Size,IF(C41="SELL",Clip_Size,0)),0)</f>
        <v>0</v>
      </c>
      <c r="N41" s="45" t="n">
        <f aca="false">IF(M41&lt;0,K41,IF(M41&gt;0,J41,0))</f>
        <v>0</v>
      </c>
      <c r="O41" s="81" t="n">
        <f aca="false">G41+M41</f>
        <v>250000</v>
      </c>
      <c r="P41" s="85" t="n">
        <f aca="false">IF(M41&lt;0,(K41-E41)*ABS(M41),IF(M41&gt;0,(E41-J41)*M41,0))</f>
        <v>0</v>
      </c>
      <c r="Q41" s="85" t="n">
        <f aca="false">G41*(E41-E40)</f>
        <v>-29.8709875280467</v>
      </c>
      <c r="R41" s="85" t="n">
        <f aca="false">AA40+Q41+P41</f>
        <v>-797.404245893168</v>
      </c>
      <c r="S41" s="86" t="n">
        <f aca="false">IF(ABS(O41)&gt;Pos_Limit,1,0)</f>
        <v>0</v>
      </c>
      <c r="T41" s="86" t="n">
        <f aca="false">IF(AND(AB40=0,R41&lt;=-Loss_Limit),1,0)</f>
        <v>0</v>
      </c>
      <c r="U41" s="84" t="str">
        <f aca="false">IF(T41=1,"LOSS LIMIT",IF(S41=1,"POSITION LIMIT",""))</f>
        <v/>
      </c>
      <c r="V41" s="81" t="n">
        <f aca="false">IF(T41=1,-O41,IF(S41=1,-(O41-SIGN(O41)*Hedge_Target),0))</f>
        <v>0</v>
      </c>
      <c r="W41" s="45" t="n">
        <f aca="false">IF(V41&gt;0,E41+Hedge_Cost_Ticks*Tick,IF(V41&lt;0,E41-Hedge_Cost_Ticks*Tick,0))</f>
        <v>0</v>
      </c>
      <c r="X41" s="85" t="n">
        <f aca="false">-ABS(V41)*Hedge_Cost_Ticks*Tick</f>
        <v>-0</v>
      </c>
      <c r="Y41" s="81" t="n">
        <f aca="false">O41+V41</f>
        <v>250000</v>
      </c>
      <c r="Z41" s="85" t="n">
        <f aca="false">Q41+P41+X41</f>
        <v>-29.8709875280467</v>
      </c>
      <c r="AA41" s="85" t="n">
        <f aca="false">AA40+Z41</f>
        <v>-797.404245893168</v>
      </c>
      <c r="AB41" s="79" t="n">
        <f aca="false">IF(Halt_On_Loss=1,MAX(AB40,T41),0)</f>
        <v>0</v>
      </c>
      <c r="AC41" s="85" t="n">
        <f aca="false">Y41*E41</f>
        <v>318897.684352212</v>
      </c>
    </row>
    <row r="42" customFormat="false" ht="15" hidden="false" customHeight="false" outlineLevel="0" collapsed="false">
      <c r="A42" s="79" t="n">
        <f aca="false">A41+1</f>
        <v>36</v>
      </c>
      <c r="B42" s="80" t="n">
        <v>-0.9</v>
      </c>
      <c r="C42" s="50" t="s">
        <v>222</v>
      </c>
      <c r="D42" s="45" t="n">
        <f aca="false">D41+B42*Step_Vol_Ticks*Tick</f>
        <v>1.28083</v>
      </c>
      <c r="E42" s="45" t="n">
        <f aca="false">D42*(1+Rate_B*Tenor_Days/Basis_B)/(1+Rate_A*Tenor_Days/Basis_A)</f>
        <v>1.27532189852109</v>
      </c>
      <c r="F42" s="46" t="n">
        <f aca="false">(E42-D42)/Tick</f>
        <v>-55.0810147890668</v>
      </c>
      <c r="G42" s="81" t="n">
        <f aca="false">Y41</f>
        <v>250000</v>
      </c>
      <c r="H42" s="82" t="n">
        <f aca="false">G42/Pos_Limit</f>
        <v>0.25</v>
      </c>
      <c r="I42" s="83" t="n">
        <f aca="false">-MAX(-1,MIN(1,H42))*Max_Skew_Ticks</f>
        <v>-0.75</v>
      </c>
      <c r="J42" s="45" t="n">
        <f aca="false">ROUND(E42/Tick+I42-Spread_Ticks/2,0)*Tick</f>
        <v>1.275</v>
      </c>
      <c r="K42" s="45" t="n">
        <f aca="false">J42+Spread_Ticks*Tick</f>
        <v>1.2755</v>
      </c>
      <c r="L42" s="84" t="str">
        <f aca="false">IF(AB41=1,"HALTED","LIVE")</f>
        <v>LIVE</v>
      </c>
      <c r="M42" s="81" t="n">
        <f aca="false">IF(L42="LIVE",IF(C42="BUY",-Clip_Size,IF(C42="SELL",Clip_Size,0)),0)</f>
        <v>250000</v>
      </c>
      <c r="N42" s="45" t="n">
        <f aca="false">IF(M42&lt;0,K42,IF(M42&gt;0,J42,0))</f>
        <v>1.275</v>
      </c>
      <c r="O42" s="81" t="n">
        <f aca="false">G42+M42</f>
        <v>500000</v>
      </c>
      <c r="P42" s="85" t="n">
        <f aca="false">IF(M42&lt;0,(K42-E42)*ABS(M42),IF(M42&gt;0,(E42-J42)*M42,0))</f>
        <v>80.4746302732751</v>
      </c>
      <c r="Q42" s="85" t="n">
        <f aca="false">G42*(E42-E41)</f>
        <v>-67.2097219382994</v>
      </c>
      <c r="R42" s="85" t="n">
        <f aca="false">AA41+Q42+P42</f>
        <v>-784.139337558193</v>
      </c>
      <c r="S42" s="86" t="n">
        <f aca="false">IF(ABS(O42)&gt;Pos_Limit,1,0)</f>
        <v>0</v>
      </c>
      <c r="T42" s="86" t="n">
        <f aca="false">IF(AND(AB41=0,R42&lt;=-Loss_Limit),1,0)</f>
        <v>0</v>
      </c>
      <c r="U42" s="84" t="str">
        <f aca="false">IF(T42=1,"LOSS LIMIT",IF(S42=1,"POSITION LIMIT",""))</f>
        <v/>
      </c>
      <c r="V42" s="81" t="n">
        <f aca="false">IF(T42=1,-O42,IF(S42=1,-(O42-SIGN(O42)*Hedge_Target),0))</f>
        <v>0</v>
      </c>
      <c r="W42" s="45" t="n">
        <f aca="false">IF(V42&gt;0,E42+Hedge_Cost_Ticks*Tick,IF(V42&lt;0,E42-Hedge_Cost_Ticks*Tick,0))</f>
        <v>0</v>
      </c>
      <c r="X42" s="85" t="n">
        <f aca="false">-ABS(V42)*Hedge_Cost_Ticks*Tick</f>
        <v>-0</v>
      </c>
      <c r="Y42" s="81" t="n">
        <f aca="false">O42+V42</f>
        <v>500000</v>
      </c>
      <c r="Z42" s="85" t="n">
        <f aca="false">Q42+P42+X42</f>
        <v>13.2649083349756</v>
      </c>
      <c r="AA42" s="85" t="n">
        <f aca="false">AA41+Z42</f>
        <v>-784.139337558193</v>
      </c>
      <c r="AB42" s="79" t="n">
        <f aca="false">IF(Halt_On_Loss=1,MAX(AB41,T42),0)</f>
        <v>0</v>
      </c>
      <c r="AC42" s="85" t="n">
        <f aca="false">Y42*E42</f>
        <v>637660.949260547</v>
      </c>
    </row>
    <row r="43" customFormat="false" ht="15" hidden="false" customHeight="false" outlineLevel="0" collapsed="false">
      <c r="A43" s="79" t="n">
        <f aca="false">A42+1</f>
        <v>37</v>
      </c>
      <c r="B43" s="80" t="n">
        <v>-1.5</v>
      </c>
      <c r="C43" s="50" t="s">
        <v>220</v>
      </c>
      <c r="D43" s="45" t="n">
        <f aca="false">D42+B43*Step_Vol_Ticks*Tick</f>
        <v>1.28038</v>
      </c>
      <c r="E43" s="45" t="n">
        <f aca="false">D43*(1+Rate_B*Tenor_Days/Basis_B)/(1+Rate_A*Tenor_Days/Basis_A)</f>
        <v>1.27487383370817</v>
      </c>
      <c r="F43" s="46" t="n">
        <f aca="false">(E43-D43)/Tick</f>
        <v>-55.0616629182832</v>
      </c>
      <c r="G43" s="81" t="n">
        <f aca="false">Y42</f>
        <v>500000</v>
      </c>
      <c r="H43" s="82" t="n">
        <f aca="false">G43/Pos_Limit</f>
        <v>0.5</v>
      </c>
      <c r="I43" s="83" t="n">
        <f aca="false">-MAX(-1,MIN(1,H43))*Max_Skew_Ticks</f>
        <v>-1.5</v>
      </c>
      <c r="J43" s="45" t="n">
        <f aca="false">ROUND(E43/Tick+I43-Spread_Ticks/2,0)*Tick</f>
        <v>1.2745</v>
      </c>
      <c r="K43" s="45" t="n">
        <f aca="false">J43+Spread_Ticks*Tick</f>
        <v>1.275</v>
      </c>
      <c r="L43" s="84" t="str">
        <f aca="false">IF(AB42=1,"HALTED","LIVE")</f>
        <v>LIVE</v>
      </c>
      <c r="M43" s="81" t="n">
        <f aca="false">IF(L43="LIVE",IF(C43="BUY",-Clip_Size,IF(C43="SELL",Clip_Size,0)),0)</f>
        <v>0</v>
      </c>
      <c r="N43" s="45" t="n">
        <f aca="false">IF(M43&lt;0,K43,IF(M43&gt;0,J43,0))</f>
        <v>0</v>
      </c>
      <c r="O43" s="81" t="n">
        <f aca="false">G43+M43</f>
        <v>500000</v>
      </c>
      <c r="P43" s="85" t="n">
        <f aca="false">IF(M43&lt;0,(K43-E43)*ABS(M43),IF(M43&gt;0,(E43-J43)*M43,0))</f>
        <v>0</v>
      </c>
      <c r="Q43" s="85" t="n">
        <f aca="false">G43*(E43-E42)</f>
        <v>-224.03240646085</v>
      </c>
      <c r="R43" s="85" t="n">
        <f aca="false">AA42+Q43+P43</f>
        <v>-1008.17174401904</v>
      </c>
      <c r="S43" s="86" t="n">
        <f aca="false">IF(ABS(O43)&gt;Pos_Limit,1,0)</f>
        <v>0</v>
      </c>
      <c r="T43" s="86" t="n">
        <f aca="false">IF(AND(AB42=0,R43&lt;=-Loss_Limit),1,0)</f>
        <v>0</v>
      </c>
      <c r="U43" s="84" t="str">
        <f aca="false">IF(T43=1,"LOSS LIMIT",IF(S43=1,"POSITION LIMIT",""))</f>
        <v/>
      </c>
      <c r="V43" s="81" t="n">
        <f aca="false">IF(T43=1,-O43,IF(S43=1,-(O43-SIGN(O43)*Hedge_Target),0))</f>
        <v>0</v>
      </c>
      <c r="W43" s="45" t="n">
        <f aca="false">IF(V43&gt;0,E43+Hedge_Cost_Ticks*Tick,IF(V43&lt;0,E43-Hedge_Cost_Ticks*Tick,0))</f>
        <v>0</v>
      </c>
      <c r="X43" s="85" t="n">
        <f aca="false">-ABS(V43)*Hedge_Cost_Ticks*Tick</f>
        <v>-0</v>
      </c>
      <c r="Y43" s="81" t="n">
        <f aca="false">O43+V43</f>
        <v>500000</v>
      </c>
      <c r="Z43" s="85" t="n">
        <f aca="false">Q43+P43+X43</f>
        <v>-224.03240646085</v>
      </c>
      <c r="AA43" s="85" t="n">
        <f aca="false">AA42+Z43</f>
        <v>-1008.17174401904</v>
      </c>
      <c r="AB43" s="79" t="n">
        <f aca="false">IF(Halt_On_Loss=1,MAX(AB42,T43),0)</f>
        <v>0</v>
      </c>
      <c r="AC43" s="85" t="n">
        <f aca="false">Y43*E43</f>
        <v>637436.916854086</v>
      </c>
    </row>
    <row r="44" customFormat="false" ht="15" hidden="false" customHeight="false" outlineLevel="0" collapsed="false">
      <c r="A44" s="79" t="n">
        <f aca="false">A43+1</f>
        <v>38</v>
      </c>
      <c r="B44" s="80" t="n">
        <v>-1.4</v>
      </c>
      <c r="C44" s="50" t="s">
        <v>222</v>
      </c>
      <c r="D44" s="45" t="n">
        <f aca="false">D43+B44*Step_Vol_Ticks*Tick</f>
        <v>1.27996</v>
      </c>
      <c r="E44" s="45" t="n">
        <f aca="false">D44*(1+Rate_B*Tenor_Days/Basis_B)/(1+Rate_A*Tenor_Days/Basis_A)</f>
        <v>1.27445563988278</v>
      </c>
      <c r="F44" s="46" t="n">
        <f aca="false">(E44-D44)/Tick</f>
        <v>-55.04360117222</v>
      </c>
      <c r="G44" s="81" t="n">
        <f aca="false">Y43</f>
        <v>500000</v>
      </c>
      <c r="H44" s="82" t="n">
        <f aca="false">G44/Pos_Limit</f>
        <v>0.5</v>
      </c>
      <c r="I44" s="83" t="n">
        <f aca="false">-MAX(-1,MIN(1,H44))*Max_Skew_Ticks</f>
        <v>-1.5</v>
      </c>
      <c r="J44" s="45" t="n">
        <f aca="false">ROUND(E44/Tick+I44-Spread_Ticks/2,0)*Tick</f>
        <v>1.2741</v>
      </c>
      <c r="K44" s="45" t="n">
        <f aca="false">J44+Spread_Ticks*Tick</f>
        <v>1.2746</v>
      </c>
      <c r="L44" s="84" t="str">
        <f aca="false">IF(AB43=1,"HALTED","LIVE")</f>
        <v>LIVE</v>
      </c>
      <c r="M44" s="81" t="n">
        <f aca="false">IF(L44="LIVE",IF(C44="BUY",-Clip_Size,IF(C44="SELL",Clip_Size,0)),0)</f>
        <v>250000</v>
      </c>
      <c r="N44" s="45" t="n">
        <f aca="false">IF(M44&lt;0,K44,IF(M44&gt;0,J44,0))</f>
        <v>1.2741</v>
      </c>
      <c r="O44" s="81" t="n">
        <f aca="false">G44+M44</f>
        <v>750000</v>
      </c>
      <c r="P44" s="85" t="n">
        <f aca="false">IF(M44&lt;0,(K44-E44)*ABS(M44),IF(M44&gt;0,(E44-J44)*M44,0))</f>
        <v>88.9099706944396</v>
      </c>
      <c r="Q44" s="85" t="n">
        <f aca="false">G44*(E44-E43)</f>
        <v>-209.096912696882</v>
      </c>
      <c r="R44" s="85" t="n">
        <f aca="false">AA43+Q44+P44</f>
        <v>-1128.35868602149</v>
      </c>
      <c r="S44" s="86" t="n">
        <f aca="false">IF(ABS(O44)&gt;Pos_Limit,1,0)</f>
        <v>0</v>
      </c>
      <c r="T44" s="86" t="n">
        <f aca="false">IF(AND(AB43=0,R44&lt;=-Loss_Limit),1,0)</f>
        <v>0</v>
      </c>
      <c r="U44" s="84" t="str">
        <f aca="false">IF(T44=1,"LOSS LIMIT",IF(S44=1,"POSITION LIMIT",""))</f>
        <v/>
      </c>
      <c r="V44" s="81" t="n">
        <f aca="false">IF(T44=1,-O44,IF(S44=1,-(O44-SIGN(O44)*Hedge_Target),0))</f>
        <v>0</v>
      </c>
      <c r="W44" s="45" t="n">
        <f aca="false">IF(V44&gt;0,E44+Hedge_Cost_Ticks*Tick,IF(V44&lt;0,E44-Hedge_Cost_Ticks*Tick,0))</f>
        <v>0</v>
      </c>
      <c r="X44" s="85" t="n">
        <f aca="false">-ABS(V44)*Hedge_Cost_Ticks*Tick</f>
        <v>-0</v>
      </c>
      <c r="Y44" s="81" t="n">
        <f aca="false">O44+V44</f>
        <v>750000</v>
      </c>
      <c r="Z44" s="85" t="n">
        <f aca="false">Q44+P44+X44</f>
        <v>-120.186942002443</v>
      </c>
      <c r="AA44" s="85" t="n">
        <f aca="false">AA43+Z44</f>
        <v>-1128.35868602149</v>
      </c>
      <c r="AB44" s="79" t="n">
        <f aca="false">IF(Halt_On_Loss=1,MAX(AB43,T44),0)</f>
        <v>0</v>
      </c>
      <c r="AC44" s="85" t="n">
        <f aca="false">Y44*E44</f>
        <v>955841.729912083</v>
      </c>
    </row>
    <row r="45" customFormat="false" ht="15" hidden="false" customHeight="false" outlineLevel="0" collapsed="false">
      <c r="A45" s="79" t="n">
        <f aca="false">A44+1</f>
        <v>39</v>
      </c>
      <c r="B45" s="80" t="n">
        <v>-0.9</v>
      </c>
      <c r="C45" s="50" t="s">
        <v>221</v>
      </c>
      <c r="D45" s="45" t="n">
        <f aca="false">D44+B45*Step_Vol_Ticks*Tick</f>
        <v>1.27969</v>
      </c>
      <c r="E45" s="45" t="n">
        <f aca="false">D45*(1+Rate_B*Tenor_Days/Basis_B)/(1+Rate_A*Tenor_Days/Basis_A)</f>
        <v>1.27418680099503</v>
      </c>
      <c r="F45" s="46" t="n">
        <f aca="false">(E45-D45)/Tick</f>
        <v>-55.0319900497476</v>
      </c>
      <c r="G45" s="81" t="n">
        <f aca="false">Y44</f>
        <v>750000</v>
      </c>
      <c r="H45" s="82" t="n">
        <f aca="false">G45/Pos_Limit</f>
        <v>0.75</v>
      </c>
      <c r="I45" s="83" t="n">
        <f aca="false">-MAX(-1,MIN(1,H45))*Max_Skew_Ticks</f>
        <v>-2.25</v>
      </c>
      <c r="J45" s="45" t="n">
        <f aca="false">ROUND(E45/Tick+I45-Spread_Ticks/2,0)*Tick</f>
        <v>1.2737</v>
      </c>
      <c r="K45" s="45" t="n">
        <f aca="false">J45+Spread_Ticks*Tick</f>
        <v>1.2742</v>
      </c>
      <c r="L45" s="84" t="str">
        <f aca="false">IF(AB44=1,"HALTED","LIVE")</f>
        <v>LIVE</v>
      </c>
      <c r="M45" s="81" t="n">
        <f aca="false">IF(L45="LIVE",IF(C45="BUY",-Clip_Size,IF(C45="SELL",Clip_Size,0)),0)</f>
        <v>-250000</v>
      </c>
      <c r="N45" s="45" t="n">
        <f aca="false">IF(M45&lt;0,K45,IF(M45&gt;0,J45,0))</f>
        <v>1.2742</v>
      </c>
      <c r="O45" s="81" t="n">
        <f aca="false">G45+M45</f>
        <v>500000</v>
      </c>
      <c r="P45" s="85" t="n">
        <f aca="false">IF(M45&lt;0,(K45-E45)*ABS(M45),IF(M45&gt;0,(E45-J45)*M45,0))</f>
        <v>3.29975124374604</v>
      </c>
      <c r="Q45" s="85" t="n">
        <f aca="false">G45*(E45-E44)</f>
        <v>-201.629165814565</v>
      </c>
      <c r="R45" s="85" t="n">
        <f aca="false">AA44+Q45+P45</f>
        <v>-1326.6881005923</v>
      </c>
      <c r="S45" s="86" t="n">
        <f aca="false">IF(ABS(O45)&gt;Pos_Limit,1,0)</f>
        <v>0</v>
      </c>
      <c r="T45" s="86" t="n">
        <f aca="false">IF(AND(AB44=0,R45&lt;=-Loss_Limit),1,0)</f>
        <v>0</v>
      </c>
      <c r="U45" s="84" t="str">
        <f aca="false">IF(T45=1,"LOSS LIMIT",IF(S45=1,"POSITION LIMIT",""))</f>
        <v/>
      </c>
      <c r="V45" s="81" t="n">
        <f aca="false">IF(T45=1,-O45,IF(S45=1,-(O45-SIGN(O45)*Hedge_Target),0))</f>
        <v>0</v>
      </c>
      <c r="W45" s="45" t="n">
        <f aca="false">IF(V45&gt;0,E45+Hedge_Cost_Ticks*Tick,IF(V45&lt;0,E45-Hedge_Cost_Ticks*Tick,0))</f>
        <v>0</v>
      </c>
      <c r="X45" s="85" t="n">
        <f aca="false">-ABS(V45)*Hedge_Cost_Ticks*Tick</f>
        <v>-0</v>
      </c>
      <c r="Y45" s="81" t="n">
        <f aca="false">O45+V45</f>
        <v>500000</v>
      </c>
      <c r="Z45" s="85" t="n">
        <f aca="false">Q45+P45+X45</f>
        <v>-198.329414570819</v>
      </c>
      <c r="AA45" s="85" t="n">
        <f aca="false">AA44+Z45</f>
        <v>-1326.6881005923</v>
      </c>
      <c r="AB45" s="79" t="n">
        <f aca="false">IF(Halt_On_Loss=1,MAX(AB44,T45),0)</f>
        <v>0</v>
      </c>
      <c r="AC45" s="85" t="n">
        <f aca="false">Y45*E45</f>
        <v>637093.400497513</v>
      </c>
    </row>
    <row r="46" customFormat="false" ht="15" hidden="false" customHeight="false" outlineLevel="0" collapsed="false">
      <c r="A46" s="79" t="n">
        <f aca="false">A45+1</f>
        <v>40</v>
      </c>
      <c r="B46" s="80" t="n">
        <v>-2.5</v>
      </c>
      <c r="C46" s="50" t="s">
        <v>222</v>
      </c>
      <c r="D46" s="45" t="n">
        <f aca="false">D45+B46*Step_Vol_Ticks*Tick</f>
        <v>1.27894</v>
      </c>
      <c r="E46" s="45" t="n">
        <f aca="false">D46*(1+Rate_B*Tenor_Days/Basis_B)/(1+Rate_A*Tenor_Days/Basis_A)</f>
        <v>1.27344002630682</v>
      </c>
      <c r="F46" s="46" t="n">
        <f aca="false">(E46-D46)/Tick</f>
        <v>-54.9997369317778</v>
      </c>
      <c r="G46" s="81" t="n">
        <f aca="false">Y45</f>
        <v>500000</v>
      </c>
      <c r="H46" s="82" t="n">
        <f aca="false">G46/Pos_Limit</f>
        <v>0.5</v>
      </c>
      <c r="I46" s="83" t="n">
        <f aca="false">-MAX(-1,MIN(1,H46))*Max_Skew_Ticks</f>
        <v>-1.5</v>
      </c>
      <c r="J46" s="45" t="n">
        <f aca="false">ROUND(E46/Tick+I46-Spread_Ticks/2,0)*Tick</f>
        <v>1.273</v>
      </c>
      <c r="K46" s="45" t="n">
        <f aca="false">J46+Spread_Ticks*Tick</f>
        <v>1.2735</v>
      </c>
      <c r="L46" s="84" t="str">
        <f aca="false">IF(AB45=1,"HALTED","LIVE")</f>
        <v>LIVE</v>
      </c>
      <c r="M46" s="81" t="n">
        <f aca="false">IF(L46="LIVE",IF(C46="BUY",-Clip_Size,IF(C46="SELL",Clip_Size,0)),0)</f>
        <v>250000</v>
      </c>
      <c r="N46" s="45" t="n">
        <f aca="false">IF(M46&lt;0,K46,IF(M46&gt;0,J46,0))</f>
        <v>1.273</v>
      </c>
      <c r="O46" s="81" t="n">
        <f aca="false">G46+M46</f>
        <v>750000</v>
      </c>
      <c r="P46" s="85" t="n">
        <f aca="false">IF(M46&lt;0,(K46-E46)*ABS(M46),IF(M46&gt;0,(E46-J46)*M46,0))</f>
        <v>110.006576705457</v>
      </c>
      <c r="Q46" s="85" t="n">
        <f aca="false">G46*(E46-E45)</f>
        <v>-373.387344101528</v>
      </c>
      <c r="R46" s="85" t="n">
        <f aca="false">AA45+Q46+P46</f>
        <v>-1590.06886798838</v>
      </c>
      <c r="S46" s="86" t="n">
        <f aca="false">IF(ABS(O46)&gt;Pos_Limit,1,0)</f>
        <v>0</v>
      </c>
      <c r="T46" s="86" t="n">
        <f aca="false">IF(AND(AB45=0,R46&lt;=-Loss_Limit),1,0)</f>
        <v>0</v>
      </c>
      <c r="U46" s="84" t="str">
        <f aca="false">IF(T46=1,"LOSS LIMIT",IF(S46=1,"POSITION LIMIT",""))</f>
        <v/>
      </c>
      <c r="V46" s="81" t="n">
        <f aca="false">IF(T46=1,-O46,IF(S46=1,-(O46-SIGN(O46)*Hedge_Target),0))</f>
        <v>0</v>
      </c>
      <c r="W46" s="45" t="n">
        <f aca="false">IF(V46&gt;0,E46+Hedge_Cost_Ticks*Tick,IF(V46&lt;0,E46-Hedge_Cost_Ticks*Tick,0))</f>
        <v>0</v>
      </c>
      <c r="X46" s="85" t="n">
        <f aca="false">-ABS(V46)*Hedge_Cost_Ticks*Tick</f>
        <v>-0</v>
      </c>
      <c r="Y46" s="81" t="n">
        <f aca="false">O46+V46</f>
        <v>750000</v>
      </c>
      <c r="Z46" s="85" t="n">
        <f aca="false">Q46+P46+X46</f>
        <v>-263.380767396071</v>
      </c>
      <c r="AA46" s="85" t="n">
        <f aca="false">AA45+Z46</f>
        <v>-1590.06886798838</v>
      </c>
      <c r="AB46" s="79" t="n">
        <f aca="false">IF(Halt_On_Loss=1,MAX(AB45,T46),0)</f>
        <v>0</v>
      </c>
      <c r="AC46" s="85" t="n">
        <f aca="false">Y46*E46</f>
        <v>955080.019730117</v>
      </c>
    </row>
    <row r="47" customFormat="false" ht="15" hidden="false" customHeight="false" outlineLevel="0" collapsed="false">
      <c r="A47" s="79" t="n">
        <f aca="false">A46+1</f>
        <v>41</v>
      </c>
      <c r="B47" s="80" t="n">
        <v>-1.1</v>
      </c>
      <c r="C47" s="50" t="s">
        <v>222</v>
      </c>
      <c r="D47" s="45" t="n">
        <f aca="false">D46+B47*Step_Vol_Ticks*Tick</f>
        <v>1.27861</v>
      </c>
      <c r="E47" s="45" t="n">
        <f aca="false">D47*(1+Rate_B*Tenor_Days/Basis_B)/(1+Rate_A*Tenor_Days/Basis_A)</f>
        <v>1.27311144544401</v>
      </c>
      <c r="F47" s="46" t="n">
        <f aca="false">(E47-D47)/Tick</f>
        <v>-54.9855455598691</v>
      </c>
      <c r="G47" s="81" t="n">
        <f aca="false">Y46</f>
        <v>750000</v>
      </c>
      <c r="H47" s="82" t="n">
        <f aca="false">G47/Pos_Limit</f>
        <v>0.75</v>
      </c>
      <c r="I47" s="83" t="n">
        <f aca="false">-MAX(-1,MIN(1,H47))*Max_Skew_Ticks</f>
        <v>-2.25</v>
      </c>
      <c r="J47" s="45" t="n">
        <f aca="false">ROUND(E47/Tick+I47-Spread_Ticks/2,0)*Tick</f>
        <v>1.2726</v>
      </c>
      <c r="K47" s="45" t="n">
        <f aca="false">J47+Spread_Ticks*Tick</f>
        <v>1.2731</v>
      </c>
      <c r="L47" s="84" t="str">
        <f aca="false">IF(AB46=1,"HALTED","LIVE")</f>
        <v>LIVE</v>
      </c>
      <c r="M47" s="81" t="n">
        <f aca="false">IF(L47="LIVE",IF(C47="BUY",-Clip_Size,IF(C47="SELL",Clip_Size,0)),0)</f>
        <v>250000</v>
      </c>
      <c r="N47" s="45" t="n">
        <f aca="false">IF(M47&lt;0,K47,IF(M47&gt;0,J47,0))</f>
        <v>1.2726</v>
      </c>
      <c r="O47" s="81" t="n">
        <f aca="false">G47+M47</f>
        <v>1000000</v>
      </c>
      <c r="P47" s="85" t="n">
        <f aca="false">IF(M47&lt;0,(K47-E47)*ABS(M47),IF(M47&gt;0,(E47-J47)*M47,0))</f>
        <v>127.861361003234</v>
      </c>
      <c r="Q47" s="85" t="n">
        <f aca="false">G47*(E47-E46)</f>
        <v>-246.435647106802</v>
      </c>
      <c r="R47" s="85" t="n">
        <f aca="false">AA46+Q47+P47</f>
        <v>-1708.64315409194</v>
      </c>
      <c r="S47" s="86" t="n">
        <f aca="false">IF(ABS(O47)&gt;Pos_Limit,1,0)</f>
        <v>0</v>
      </c>
      <c r="T47" s="86" t="n">
        <f aca="false">IF(AND(AB46=0,R47&lt;=-Loss_Limit),1,0)</f>
        <v>0</v>
      </c>
      <c r="U47" s="84" t="str">
        <f aca="false">IF(T47=1,"LOSS LIMIT",IF(S47=1,"POSITION LIMIT",""))</f>
        <v/>
      </c>
      <c r="V47" s="81" t="n">
        <f aca="false">IF(T47=1,-O47,IF(S47=1,-(O47-SIGN(O47)*Hedge_Target),0))</f>
        <v>0</v>
      </c>
      <c r="W47" s="45" t="n">
        <f aca="false">IF(V47&gt;0,E47+Hedge_Cost_Ticks*Tick,IF(V47&lt;0,E47-Hedge_Cost_Ticks*Tick,0))</f>
        <v>0</v>
      </c>
      <c r="X47" s="85" t="n">
        <f aca="false">-ABS(V47)*Hedge_Cost_Ticks*Tick</f>
        <v>-0</v>
      </c>
      <c r="Y47" s="81" t="n">
        <f aca="false">O47+V47</f>
        <v>1000000</v>
      </c>
      <c r="Z47" s="85" t="n">
        <f aca="false">Q47+P47+X47</f>
        <v>-118.574286103568</v>
      </c>
      <c r="AA47" s="85" t="n">
        <f aca="false">AA46+Z47</f>
        <v>-1708.64315409194</v>
      </c>
      <c r="AB47" s="79" t="n">
        <f aca="false">IF(Halt_On_Loss=1,MAX(AB46,T47),0)</f>
        <v>0</v>
      </c>
      <c r="AC47" s="85" t="n">
        <f aca="false">Y47*E47</f>
        <v>1273111.44544401</v>
      </c>
    </row>
    <row r="48" customFormat="false" ht="15" hidden="false" customHeight="false" outlineLevel="0" collapsed="false">
      <c r="A48" s="79" t="n">
        <f aca="false">A47+1</f>
        <v>42</v>
      </c>
      <c r="B48" s="80" t="n">
        <v>-0.4</v>
      </c>
      <c r="C48" s="50" t="s">
        <v>220</v>
      </c>
      <c r="D48" s="45" t="n">
        <f aca="false">D47+B48*Step_Vol_Ticks*Tick</f>
        <v>1.27849</v>
      </c>
      <c r="E48" s="45" t="n">
        <f aca="false">D48*(1+Rate_B*Tenor_Days/Basis_B)/(1+Rate_A*Tenor_Days/Basis_A)</f>
        <v>1.2729919614939</v>
      </c>
      <c r="F48" s="46" t="n">
        <f aca="false">(E48-D48)/Tick</f>
        <v>-54.9803850609942</v>
      </c>
      <c r="G48" s="81" t="n">
        <f aca="false">Y47</f>
        <v>1000000</v>
      </c>
      <c r="H48" s="82" t="n">
        <f aca="false">G48/Pos_Limit</f>
        <v>1</v>
      </c>
      <c r="I48" s="83" t="n">
        <f aca="false">-MAX(-1,MIN(1,H48))*Max_Skew_Ticks</f>
        <v>-3</v>
      </c>
      <c r="J48" s="45" t="n">
        <f aca="false">ROUND(E48/Tick+I48-Spread_Ticks/2,0)*Tick</f>
        <v>1.2724</v>
      </c>
      <c r="K48" s="45" t="n">
        <f aca="false">J48+Spread_Ticks*Tick</f>
        <v>1.2729</v>
      </c>
      <c r="L48" s="84" t="str">
        <f aca="false">IF(AB47=1,"HALTED","LIVE")</f>
        <v>LIVE</v>
      </c>
      <c r="M48" s="81" t="n">
        <f aca="false">IF(L48="LIVE",IF(C48="BUY",-Clip_Size,IF(C48="SELL",Clip_Size,0)),0)</f>
        <v>0</v>
      </c>
      <c r="N48" s="45" t="n">
        <f aca="false">IF(M48&lt;0,K48,IF(M48&gt;0,J48,0))</f>
        <v>0</v>
      </c>
      <c r="O48" s="81" t="n">
        <f aca="false">G48+M48</f>
        <v>1000000</v>
      </c>
      <c r="P48" s="85" t="n">
        <f aca="false">IF(M48&lt;0,(K48-E48)*ABS(M48),IF(M48&gt;0,(E48-J48)*M48,0))</f>
        <v>0</v>
      </c>
      <c r="Q48" s="85" t="n">
        <f aca="false">G48*(E48-E47)</f>
        <v>-119.483950112409</v>
      </c>
      <c r="R48" s="85" t="n">
        <f aca="false">AA47+Q48+P48</f>
        <v>-1828.12710420435</v>
      </c>
      <c r="S48" s="86" t="n">
        <f aca="false">IF(ABS(O48)&gt;Pos_Limit,1,0)</f>
        <v>0</v>
      </c>
      <c r="T48" s="86" t="n">
        <f aca="false">IF(AND(AB47=0,R48&lt;=-Loss_Limit),1,0)</f>
        <v>1</v>
      </c>
      <c r="U48" s="84" t="str">
        <f aca="false">IF(T48=1,"LOSS LIMIT",IF(S48=1,"POSITION LIMIT",""))</f>
        <v>LOSS LIMIT</v>
      </c>
      <c r="V48" s="81" t="n">
        <f aca="false">IF(T48=1,-O48,IF(S48=1,-(O48-SIGN(O48)*Hedge_Target),0))</f>
        <v>-1000000</v>
      </c>
      <c r="W48" s="45" t="n">
        <f aca="false">IF(V48&gt;0,E48+Hedge_Cost_Ticks*Tick,IF(V48&lt;0,E48-Hedge_Cost_Ticks*Tick,0))</f>
        <v>1.2728919614939</v>
      </c>
      <c r="X48" s="85" t="n">
        <f aca="false">-ABS(V48)*Hedge_Cost_Ticks*Tick</f>
        <v>-100</v>
      </c>
      <c r="Y48" s="81" t="n">
        <f aca="false">O48+V48</f>
        <v>0</v>
      </c>
      <c r="Z48" s="85" t="n">
        <f aca="false">Q48+P48+X48</f>
        <v>-219.483950112409</v>
      </c>
      <c r="AA48" s="85" t="n">
        <f aca="false">AA47+Z48</f>
        <v>-1928.12710420435</v>
      </c>
      <c r="AB48" s="79" t="n">
        <f aca="false">IF(Halt_On_Loss=1,MAX(AB47,T48),0)</f>
        <v>1</v>
      </c>
      <c r="AC48" s="85" t="n">
        <f aca="false">Y48*E48</f>
        <v>0</v>
      </c>
    </row>
    <row r="49" customFormat="false" ht="15" hidden="false" customHeight="false" outlineLevel="0" collapsed="false">
      <c r="A49" s="79" t="n">
        <f aca="false">A48+1</f>
        <v>43</v>
      </c>
      <c r="B49" s="80" t="n">
        <v>0.1</v>
      </c>
      <c r="C49" s="50" t="s">
        <v>222</v>
      </c>
      <c r="D49" s="45" t="n">
        <f aca="false">D48+B49*Step_Vol_Ticks*Tick</f>
        <v>1.27852</v>
      </c>
      <c r="E49" s="45" t="n">
        <f aca="false">D49*(1+Rate_B*Tenor_Days/Basis_B)/(1+Rate_A*Tenor_Days/Basis_A)</f>
        <v>1.27302183248143</v>
      </c>
      <c r="F49" s="46" t="n">
        <f aca="false">(E49-D49)/Tick</f>
        <v>-54.9816751857146</v>
      </c>
      <c r="G49" s="81" t="n">
        <f aca="false">Y48</f>
        <v>0</v>
      </c>
      <c r="H49" s="82" t="n">
        <f aca="false">G49/Pos_Limit</f>
        <v>0</v>
      </c>
      <c r="I49" s="83" t="n">
        <f aca="false">-MAX(-1,MIN(1,H49))*Max_Skew_Ticks</f>
        <v>-0</v>
      </c>
      <c r="J49" s="45" t="n">
        <f aca="false">ROUND(E49/Tick+I49-Spread_Ticks/2,0)*Tick</f>
        <v>1.2728</v>
      </c>
      <c r="K49" s="45" t="n">
        <f aca="false">J49+Spread_Ticks*Tick</f>
        <v>1.2733</v>
      </c>
      <c r="L49" s="84" t="str">
        <f aca="false">IF(AB48=1,"HALTED","LIVE")</f>
        <v>HALTED</v>
      </c>
      <c r="M49" s="81" t="n">
        <f aca="false">IF(L49="LIVE",IF(C49="BUY",-Clip_Size,IF(C49="SELL",Clip_Size,0)),0)</f>
        <v>0</v>
      </c>
      <c r="N49" s="45" t="n">
        <f aca="false">IF(M49&lt;0,K49,IF(M49&gt;0,J49,0))</f>
        <v>0</v>
      </c>
      <c r="O49" s="81" t="n">
        <f aca="false">G49+M49</f>
        <v>0</v>
      </c>
      <c r="P49" s="85" t="n">
        <f aca="false">IF(M49&lt;0,(K49-E49)*ABS(M49),IF(M49&gt;0,(E49-J49)*M49,0))</f>
        <v>0</v>
      </c>
      <c r="Q49" s="85" t="n">
        <f aca="false">G49*(E49-E48)</f>
        <v>0</v>
      </c>
      <c r="R49" s="85" t="n">
        <f aca="false">AA48+Q49+P49</f>
        <v>-1928.12710420435</v>
      </c>
      <c r="S49" s="86" t="n">
        <f aca="false">IF(ABS(O49)&gt;Pos_Limit,1,0)</f>
        <v>0</v>
      </c>
      <c r="T49" s="86" t="n">
        <f aca="false">IF(AND(AB48=0,R49&lt;=-Loss_Limit),1,0)</f>
        <v>0</v>
      </c>
      <c r="U49" s="84" t="str">
        <f aca="false">IF(T49=1,"LOSS LIMIT",IF(S49=1,"POSITION LIMIT",""))</f>
        <v/>
      </c>
      <c r="V49" s="81" t="n">
        <f aca="false">IF(T49=1,-O49,IF(S49=1,-(O49-SIGN(O49)*Hedge_Target),0))</f>
        <v>0</v>
      </c>
      <c r="W49" s="45" t="n">
        <f aca="false">IF(V49&gt;0,E49+Hedge_Cost_Ticks*Tick,IF(V49&lt;0,E49-Hedge_Cost_Ticks*Tick,0))</f>
        <v>0</v>
      </c>
      <c r="X49" s="85" t="n">
        <f aca="false">-ABS(V49)*Hedge_Cost_Ticks*Tick</f>
        <v>-0</v>
      </c>
      <c r="Y49" s="81" t="n">
        <f aca="false">O49+V49</f>
        <v>0</v>
      </c>
      <c r="Z49" s="85" t="n">
        <f aca="false">Q49+P49+X49</f>
        <v>0</v>
      </c>
      <c r="AA49" s="85" t="n">
        <f aca="false">AA48+Z49</f>
        <v>-1928.12710420435</v>
      </c>
      <c r="AB49" s="79" t="n">
        <f aca="false">IF(Halt_On_Loss=1,MAX(AB48,T49),0)</f>
        <v>1</v>
      </c>
      <c r="AC49" s="85" t="n">
        <f aca="false">Y49*E49</f>
        <v>0</v>
      </c>
    </row>
    <row r="50" customFormat="false" ht="15" hidden="false" customHeight="false" outlineLevel="0" collapsed="false">
      <c r="A50" s="79" t="n">
        <f aca="false">A49+1</f>
        <v>44</v>
      </c>
      <c r="B50" s="80" t="n">
        <v>0.3</v>
      </c>
      <c r="C50" s="50" t="s">
        <v>221</v>
      </c>
      <c r="D50" s="45" t="n">
        <f aca="false">D49+B50*Step_Vol_Ticks*Tick</f>
        <v>1.27861</v>
      </c>
      <c r="E50" s="45" t="n">
        <f aca="false">D50*(1+Rate_B*Tenor_Days/Basis_B)/(1+Rate_A*Tenor_Days/Basis_A)</f>
        <v>1.27311144544401</v>
      </c>
      <c r="F50" s="46" t="n">
        <f aca="false">(E50-D50)/Tick</f>
        <v>-54.9855455598691</v>
      </c>
      <c r="G50" s="81" t="n">
        <f aca="false">Y49</f>
        <v>0</v>
      </c>
      <c r="H50" s="82" t="n">
        <f aca="false">G50/Pos_Limit</f>
        <v>0</v>
      </c>
      <c r="I50" s="83" t="n">
        <f aca="false">-MAX(-1,MIN(1,H50))*Max_Skew_Ticks</f>
        <v>-0</v>
      </c>
      <c r="J50" s="45" t="n">
        <f aca="false">ROUND(E50/Tick+I50-Spread_Ticks/2,0)*Tick</f>
        <v>1.2729</v>
      </c>
      <c r="K50" s="45" t="n">
        <f aca="false">J50+Spread_Ticks*Tick</f>
        <v>1.2734</v>
      </c>
      <c r="L50" s="84" t="str">
        <f aca="false">IF(AB49=1,"HALTED","LIVE")</f>
        <v>HALTED</v>
      </c>
      <c r="M50" s="81" t="n">
        <f aca="false">IF(L50="LIVE",IF(C50="BUY",-Clip_Size,IF(C50="SELL",Clip_Size,0)),0)</f>
        <v>0</v>
      </c>
      <c r="N50" s="45" t="n">
        <f aca="false">IF(M50&lt;0,K50,IF(M50&gt;0,J50,0))</f>
        <v>0</v>
      </c>
      <c r="O50" s="81" t="n">
        <f aca="false">G50+M50</f>
        <v>0</v>
      </c>
      <c r="P50" s="85" t="n">
        <f aca="false">IF(M50&lt;0,(K50-E50)*ABS(M50),IF(M50&gt;0,(E50-J50)*M50,0))</f>
        <v>0</v>
      </c>
      <c r="Q50" s="85" t="n">
        <f aca="false">G50*(E50-E49)</f>
        <v>0</v>
      </c>
      <c r="R50" s="85" t="n">
        <f aca="false">AA49+Q50+P50</f>
        <v>-1928.12710420435</v>
      </c>
      <c r="S50" s="86" t="n">
        <f aca="false">IF(ABS(O50)&gt;Pos_Limit,1,0)</f>
        <v>0</v>
      </c>
      <c r="T50" s="86" t="n">
        <f aca="false">IF(AND(AB49=0,R50&lt;=-Loss_Limit),1,0)</f>
        <v>0</v>
      </c>
      <c r="U50" s="84" t="str">
        <f aca="false">IF(T50=1,"LOSS LIMIT",IF(S50=1,"POSITION LIMIT",""))</f>
        <v/>
      </c>
      <c r="V50" s="81" t="n">
        <f aca="false">IF(T50=1,-O50,IF(S50=1,-(O50-SIGN(O50)*Hedge_Target),0))</f>
        <v>0</v>
      </c>
      <c r="W50" s="45" t="n">
        <f aca="false">IF(V50&gt;0,E50+Hedge_Cost_Ticks*Tick,IF(V50&lt;0,E50-Hedge_Cost_Ticks*Tick,0))</f>
        <v>0</v>
      </c>
      <c r="X50" s="85" t="n">
        <f aca="false">-ABS(V50)*Hedge_Cost_Ticks*Tick</f>
        <v>-0</v>
      </c>
      <c r="Y50" s="81" t="n">
        <f aca="false">O50+V50</f>
        <v>0</v>
      </c>
      <c r="Z50" s="85" t="n">
        <f aca="false">Q50+P50+X50</f>
        <v>0</v>
      </c>
      <c r="AA50" s="85" t="n">
        <f aca="false">AA49+Z50</f>
        <v>-1928.12710420435</v>
      </c>
      <c r="AB50" s="79" t="n">
        <f aca="false">IF(Halt_On_Loss=1,MAX(AB49,T50),0)</f>
        <v>1</v>
      </c>
      <c r="AC50" s="85" t="n">
        <f aca="false">Y50*E50</f>
        <v>0</v>
      </c>
    </row>
    <row r="51" customFormat="false" ht="15" hidden="false" customHeight="false" outlineLevel="0" collapsed="false">
      <c r="A51" s="79" t="n">
        <f aca="false">A50+1</f>
        <v>45</v>
      </c>
      <c r="B51" s="80" t="n">
        <v>0.5</v>
      </c>
      <c r="C51" s="50" t="s">
        <v>222</v>
      </c>
      <c r="D51" s="45" t="n">
        <f aca="false">D50+B51*Step_Vol_Ticks*Tick</f>
        <v>1.27876</v>
      </c>
      <c r="E51" s="45" t="n">
        <f aca="false">D51*(1+Rate_B*Tenor_Days/Basis_B)/(1+Rate_A*Tenor_Days/Basis_A)</f>
        <v>1.27326080038165</v>
      </c>
      <c r="F51" s="46" t="n">
        <f aca="false">(E51-D51)/Tick</f>
        <v>-54.9919961834644</v>
      </c>
      <c r="G51" s="81" t="n">
        <f aca="false">Y50</f>
        <v>0</v>
      </c>
      <c r="H51" s="82" t="n">
        <f aca="false">G51/Pos_Limit</f>
        <v>0</v>
      </c>
      <c r="I51" s="83" t="n">
        <f aca="false">-MAX(-1,MIN(1,H51))*Max_Skew_Ticks</f>
        <v>-0</v>
      </c>
      <c r="J51" s="45" t="n">
        <f aca="false">ROUND(E51/Tick+I51-Spread_Ticks/2,0)*Tick</f>
        <v>1.273</v>
      </c>
      <c r="K51" s="45" t="n">
        <f aca="false">J51+Spread_Ticks*Tick</f>
        <v>1.2735</v>
      </c>
      <c r="L51" s="84" t="str">
        <f aca="false">IF(AB50=1,"HALTED","LIVE")</f>
        <v>HALTED</v>
      </c>
      <c r="M51" s="81" t="n">
        <f aca="false">IF(L51="LIVE",IF(C51="BUY",-Clip_Size,IF(C51="SELL",Clip_Size,0)),0)</f>
        <v>0</v>
      </c>
      <c r="N51" s="45" t="n">
        <f aca="false">IF(M51&lt;0,K51,IF(M51&gt;0,J51,0))</f>
        <v>0</v>
      </c>
      <c r="O51" s="81" t="n">
        <f aca="false">G51+M51</f>
        <v>0</v>
      </c>
      <c r="P51" s="85" t="n">
        <f aca="false">IF(M51&lt;0,(K51-E51)*ABS(M51),IF(M51&gt;0,(E51-J51)*M51,0))</f>
        <v>0</v>
      </c>
      <c r="Q51" s="85" t="n">
        <f aca="false">G51*(E51-E50)</f>
        <v>0</v>
      </c>
      <c r="R51" s="85" t="n">
        <f aca="false">AA50+Q51+P51</f>
        <v>-1928.12710420435</v>
      </c>
      <c r="S51" s="86" t="n">
        <f aca="false">IF(ABS(O51)&gt;Pos_Limit,1,0)</f>
        <v>0</v>
      </c>
      <c r="T51" s="86" t="n">
        <f aca="false">IF(AND(AB50=0,R51&lt;=-Loss_Limit),1,0)</f>
        <v>0</v>
      </c>
      <c r="U51" s="84" t="str">
        <f aca="false">IF(T51=1,"LOSS LIMIT",IF(S51=1,"POSITION LIMIT",""))</f>
        <v/>
      </c>
      <c r="V51" s="81" t="n">
        <f aca="false">IF(T51=1,-O51,IF(S51=1,-(O51-SIGN(O51)*Hedge_Target),0))</f>
        <v>0</v>
      </c>
      <c r="W51" s="45" t="n">
        <f aca="false">IF(V51&gt;0,E51+Hedge_Cost_Ticks*Tick,IF(V51&lt;0,E51-Hedge_Cost_Ticks*Tick,0))</f>
        <v>0</v>
      </c>
      <c r="X51" s="85" t="n">
        <f aca="false">-ABS(V51)*Hedge_Cost_Ticks*Tick</f>
        <v>-0</v>
      </c>
      <c r="Y51" s="81" t="n">
        <f aca="false">O51+V51</f>
        <v>0</v>
      </c>
      <c r="Z51" s="85" t="n">
        <f aca="false">Q51+P51+X51</f>
        <v>0</v>
      </c>
      <c r="AA51" s="85" t="n">
        <f aca="false">AA50+Z51</f>
        <v>-1928.12710420435</v>
      </c>
      <c r="AB51" s="79" t="n">
        <f aca="false">IF(Halt_On_Loss=1,MAX(AB50,T51),0)</f>
        <v>1</v>
      </c>
      <c r="AC51" s="85" t="n">
        <f aca="false">Y51*E51</f>
        <v>0</v>
      </c>
    </row>
    <row r="52" customFormat="false" ht="15" hidden="false" customHeight="false" outlineLevel="0" collapsed="false">
      <c r="A52" s="79" t="n">
        <f aca="false">A51+1</f>
        <v>46</v>
      </c>
      <c r="B52" s="80" t="n">
        <v>-0.2</v>
      </c>
      <c r="C52" s="50" t="s">
        <v>221</v>
      </c>
      <c r="D52" s="45" t="n">
        <f aca="false">D51+B52*Step_Vol_Ticks*Tick</f>
        <v>1.2787</v>
      </c>
      <c r="E52" s="45" t="n">
        <f aca="false">D52*(1+Rate_B*Tenor_Days/Basis_B)/(1+Rate_A*Tenor_Days/Basis_A)</f>
        <v>1.2732010584066</v>
      </c>
      <c r="F52" s="46" t="n">
        <f aca="false">(E52-D52)/Tick</f>
        <v>-54.9894159340258</v>
      </c>
      <c r="G52" s="81" t="n">
        <f aca="false">Y51</f>
        <v>0</v>
      </c>
      <c r="H52" s="82" t="n">
        <f aca="false">G52/Pos_Limit</f>
        <v>0</v>
      </c>
      <c r="I52" s="83" t="n">
        <f aca="false">-MAX(-1,MIN(1,H52))*Max_Skew_Ticks</f>
        <v>-0</v>
      </c>
      <c r="J52" s="45" t="n">
        <f aca="false">ROUND(E52/Tick+I52-Spread_Ticks/2,0)*Tick</f>
        <v>1.273</v>
      </c>
      <c r="K52" s="45" t="n">
        <f aca="false">J52+Spread_Ticks*Tick</f>
        <v>1.2735</v>
      </c>
      <c r="L52" s="84" t="str">
        <f aca="false">IF(AB51=1,"HALTED","LIVE")</f>
        <v>HALTED</v>
      </c>
      <c r="M52" s="81" t="n">
        <f aca="false">IF(L52="LIVE",IF(C52="BUY",-Clip_Size,IF(C52="SELL",Clip_Size,0)),0)</f>
        <v>0</v>
      </c>
      <c r="N52" s="45" t="n">
        <f aca="false">IF(M52&lt;0,K52,IF(M52&gt;0,J52,0))</f>
        <v>0</v>
      </c>
      <c r="O52" s="81" t="n">
        <f aca="false">G52+M52</f>
        <v>0</v>
      </c>
      <c r="P52" s="85" t="n">
        <f aca="false">IF(M52&lt;0,(K52-E52)*ABS(M52),IF(M52&gt;0,(E52-J52)*M52,0))</f>
        <v>0</v>
      </c>
      <c r="Q52" s="85" t="n">
        <f aca="false">G52*(E52-E51)</f>
        <v>-0</v>
      </c>
      <c r="R52" s="85" t="n">
        <f aca="false">AA51+Q52+P52</f>
        <v>-1928.12710420435</v>
      </c>
      <c r="S52" s="86" t="n">
        <f aca="false">IF(ABS(O52)&gt;Pos_Limit,1,0)</f>
        <v>0</v>
      </c>
      <c r="T52" s="86" t="n">
        <f aca="false">IF(AND(AB51=0,R52&lt;=-Loss_Limit),1,0)</f>
        <v>0</v>
      </c>
      <c r="U52" s="84" t="str">
        <f aca="false">IF(T52=1,"LOSS LIMIT",IF(S52=1,"POSITION LIMIT",""))</f>
        <v/>
      </c>
      <c r="V52" s="81" t="n">
        <f aca="false">IF(T52=1,-O52,IF(S52=1,-(O52-SIGN(O52)*Hedge_Target),0))</f>
        <v>0</v>
      </c>
      <c r="W52" s="45" t="n">
        <f aca="false">IF(V52&gt;0,E52+Hedge_Cost_Ticks*Tick,IF(V52&lt;0,E52-Hedge_Cost_Ticks*Tick,0))</f>
        <v>0</v>
      </c>
      <c r="X52" s="85" t="n">
        <f aca="false">-ABS(V52)*Hedge_Cost_Ticks*Tick</f>
        <v>-0</v>
      </c>
      <c r="Y52" s="81" t="n">
        <f aca="false">O52+V52</f>
        <v>0</v>
      </c>
      <c r="Z52" s="85" t="n">
        <f aca="false">Q52+P52+X52</f>
        <v>0</v>
      </c>
      <c r="AA52" s="85" t="n">
        <f aca="false">AA51+Z52</f>
        <v>-1928.12710420435</v>
      </c>
      <c r="AB52" s="79" t="n">
        <f aca="false">IF(Halt_On_Loss=1,MAX(AB51,T52),0)</f>
        <v>1</v>
      </c>
      <c r="AC52" s="85" t="n">
        <f aca="false">Y52*E52</f>
        <v>0</v>
      </c>
    </row>
    <row r="53" customFormat="false" ht="15" hidden="false" customHeight="false" outlineLevel="0" collapsed="false">
      <c r="A53" s="79" t="n">
        <f aca="false">A52+1</f>
        <v>47</v>
      </c>
      <c r="B53" s="80" t="n">
        <v>-0.9</v>
      </c>
      <c r="C53" s="50" t="s">
        <v>222</v>
      </c>
      <c r="D53" s="45" t="n">
        <f aca="false">D52+B53*Step_Vol_Ticks*Tick</f>
        <v>1.27843</v>
      </c>
      <c r="E53" s="45" t="n">
        <f aca="false">D53*(1+Rate_B*Tenor_Days/Basis_B)/(1+Rate_A*Tenor_Days/Basis_A)</f>
        <v>1.27293221951884</v>
      </c>
      <c r="F53" s="46" t="n">
        <f aca="false">(E53-D53)/Tick</f>
        <v>-54.9778048115557</v>
      </c>
      <c r="G53" s="81" t="n">
        <f aca="false">Y52</f>
        <v>0</v>
      </c>
      <c r="H53" s="82" t="n">
        <f aca="false">G53/Pos_Limit</f>
        <v>0</v>
      </c>
      <c r="I53" s="83" t="n">
        <f aca="false">-MAX(-1,MIN(1,H53))*Max_Skew_Ticks</f>
        <v>-0</v>
      </c>
      <c r="J53" s="45" t="n">
        <f aca="false">ROUND(E53/Tick+I53-Spread_Ticks/2,0)*Tick</f>
        <v>1.2727</v>
      </c>
      <c r="K53" s="45" t="n">
        <f aca="false">J53+Spread_Ticks*Tick</f>
        <v>1.2732</v>
      </c>
      <c r="L53" s="84" t="str">
        <f aca="false">IF(AB52=1,"HALTED","LIVE")</f>
        <v>HALTED</v>
      </c>
      <c r="M53" s="81" t="n">
        <f aca="false">IF(L53="LIVE",IF(C53="BUY",-Clip_Size,IF(C53="SELL",Clip_Size,0)),0)</f>
        <v>0</v>
      </c>
      <c r="N53" s="45" t="n">
        <f aca="false">IF(M53&lt;0,K53,IF(M53&gt;0,J53,0))</f>
        <v>0</v>
      </c>
      <c r="O53" s="81" t="n">
        <f aca="false">G53+M53</f>
        <v>0</v>
      </c>
      <c r="P53" s="85" t="n">
        <f aca="false">IF(M53&lt;0,(K53-E53)*ABS(M53),IF(M53&gt;0,(E53-J53)*M53,0))</f>
        <v>0</v>
      </c>
      <c r="Q53" s="85" t="n">
        <f aca="false">G53*(E53-E52)</f>
        <v>-0</v>
      </c>
      <c r="R53" s="85" t="n">
        <f aca="false">AA52+Q53+P53</f>
        <v>-1928.12710420435</v>
      </c>
      <c r="S53" s="86" t="n">
        <f aca="false">IF(ABS(O53)&gt;Pos_Limit,1,0)</f>
        <v>0</v>
      </c>
      <c r="T53" s="86" t="n">
        <f aca="false">IF(AND(AB52=0,R53&lt;=-Loss_Limit),1,0)</f>
        <v>0</v>
      </c>
      <c r="U53" s="84" t="str">
        <f aca="false">IF(T53=1,"LOSS LIMIT",IF(S53=1,"POSITION LIMIT",""))</f>
        <v/>
      </c>
      <c r="V53" s="81" t="n">
        <f aca="false">IF(T53=1,-O53,IF(S53=1,-(O53-SIGN(O53)*Hedge_Target),0))</f>
        <v>0</v>
      </c>
      <c r="W53" s="45" t="n">
        <f aca="false">IF(V53&gt;0,E53+Hedge_Cost_Ticks*Tick,IF(V53&lt;0,E53-Hedge_Cost_Ticks*Tick,0))</f>
        <v>0</v>
      </c>
      <c r="X53" s="85" t="n">
        <f aca="false">-ABS(V53)*Hedge_Cost_Ticks*Tick</f>
        <v>-0</v>
      </c>
      <c r="Y53" s="81" t="n">
        <f aca="false">O53+V53</f>
        <v>0</v>
      </c>
      <c r="Z53" s="85" t="n">
        <f aca="false">Q53+P53+X53</f>
        <v>0</v>
      </c>
      <c r="AA53" s="85" t="n">
        <f aca="false">AA52+Z53</f>
        <v>-1928.12710420435</v>
      </c>
      <c r="AB53" s="79" t="n">
        <f aca="false">IF(Halt_On_Loss=1,MAX(AB52,T53),0)</f>
        <v>1</v>
      </c>
      <c r="AC53" s="85" t="n">
        <f aca="false">Y53*E53</f>
        <v>0</v>
      </c>
    </row>
    <row r="54" customFormat="false" ht="15" hidden="false" customHeight="false" outlineLevel="0" collapsed="false">
      <c r="A54" s="79" t="n">
        <f aca="false">A53+1</f>
        <v>48</v>
      </c>
      <c r="B54" s="80" t="n">
        <v>0.5</v>
      </c>
      <c r="C54" s="50" t="s">
        <v>221</v>
      </c>
      <c r="D54" s="45" t="n">
        <f aca="false">D53+B54*Step_Vol_Ticks*Tick</f>
        <v>1.27858</v>
      </c>
      <c r="E54" s="45" t="n">
        <f aca="false">D54*(1+Rate_B*Tenor_Days/Basis_B)/(1+Rate_A*Tenor_Days/Basis_A)</f>
        <v>1.27308157445649</v>
      </c>
      <c r="F54" s="46" t="n">
        <f aca="false">(E54-D54)/Tick</f>
        <v>-54.984255435151</v>
      </c>
      <c r="G54" s="81" t="n">
        <f aca="false">Y53</f>
        <v>0</v>
      </c>
      <c r="H54" s="82" t="n">
        <f aca="false">G54/Pos_Limit</f>
        <v>0</v>
      </c>
      <c r="I54" s="83" t="n">
        <f aca="false">-MAX(-1,MIN(1,H54))*Max_Skew_Ticks</f>
        <v>-0</v>
      </c>
      <c r="J54" s="45" t="n">
        <f aca="false">ROUND(E54/Tick+I54-Spread_Ticks/2,0)*Tick</f>
        <v>1.2728</v>
      </c>
      <c r="K54" s="45" t="n">
        <f aca="false">J54+Spread_Ticks*Tick</f>
        <v>1.2733</v>
      </c>
      <c r="L54" s="84" t="str">
        <f aca="false">IF(AB53=1,"HALTED","LIVE")</f>
        <v>HALTED</v>
      </c>
      <c r="M54" s="81" t="n">
        <f aca="false">IF(L54="LIVE",IF(C54="BUY",-Clip_Size,IF(C54="SELL",Clip_Size,0)),0)</f>
        <v>0</v>
      </c>
      <c r="N54" s="45" t="n">
        <f aca="false">IF(M54&lt;0,K54,IF(M54&gt;0,J54,0))</f>
        <v>0</v>
      </c>
      <c r="O54" s="81" t="n">
        <f aca="false">G54+M54</f>
        <v>0</v>
      </c>
      <c r="P54" s="85" t="n">
        <f aca="false">IF(M54&lt;0,(K54-E54)*ABS(M54),IF(M54&gt;0,(E54-J54)*M54,0))</f>
        <v>0</v>
      </c>
      <c r="Q54" s="85" t="n">
        <f aca="false">G54*(E54-E53)</f>
        <v>0</v>
      </c>
      <c r="R54" s="85" t="n">
        <f aca="false">AA53+Q54+P54</f>
        <v>-1928.12710420435</v>
      </c>
      <c r="S54" s="86" t="n">
        <f aca="false">IF(ABS(O54)&gt;Pos_Limit,1,0)</f>
        <v>0</v>
      </c>
      <c r="T54" s="86" t="n">
        <f aca="false">IF(AND(AB53=0,R54&lt;=-Loss_Limit),1,0)</f>
        <v>0</v>
      </c>
      <c r="U54" s="84" t="str">
        <f aca="false">IF(T54=1,"LOSS LIMIT",IF(S54=1,"POSITION LIMIT",""))</f>
        <v/>
      </c>
      <c r="V54" s="81" t="n">
        <f aca="false">IF(T54=1,-O54,IF(S54=1,-(O54-SIGN(O54)*Hedge_Target),0))</f>
        <v>0</v>
      </c>
      <c r="W54" s="45" t="n">
        <f aca="false">IF(V54&gt;0,E54+Hedge_Cost_Ticks*Tick,IF(V54&lt;0,E54-Hedge_Cost_Ticks*Tick,0))</f>
        <v>0</v>
      </c>
      <c r="X54" s="85" t="n">
        <f aca="false">-ABS(V54)*Hedge_Cost_Ticks*Tick</f>
        <v>-0</v>
      </c>
      <c r="Y54" s="81" t="n">
        <f aca="false">O54+V54</f>
        <v>0</v>
      </c>
      <c r="Z54" s="85" t="n">
        <f aca="false">Q54+P54+X54</f>
        <v>0</v>
      </c>
      <c r="AA54" s="85" t="n">
        <f aca="false">AA53+Z54</f>
        <v>-1928.12710420435</v>
      </c>
      <c r="AB54" s="79" t="n">
        <f aca="false">IF(Halt_On_Loss=1,MAX(AB53,T54),0)</f>
        <v>1</v>
      </c>
      <c r="AC54" s="85" t="n">
        <f aca="false">Y54*E54</f>
        <v>0</v>
      </c>
    </row>
    <row r="55" customFormat="false" ht="15" hidden="false" customHeight="false" outlineLevel="0" collapsed="false">
      <c r="A55" s="79" t="n">
        <f aca="false">A54+1</f>
        <v>49</v>
      </c>
      <c r="B55" s="80" t="n">
        <v>0.5</v>
      </c>
      <c r="C55" s="50" t="s">
        <v>222</v>
      </c>
      <c r="D55" s="45" t="n">
        <f aca="false">D54+B55*Step_Vol_Ticks*Tick</f>
        <v>1.27873</v>
      </c>
      <c r="E55" s="45" t="n">
        <f aca="false">D55*(1+Rate_B*Tenor_Days/Basis_B)/(1+Rate_A*Tenor_Days/Basis_A)</f>
        <v>1.27323092939413</v>
      </c>
      <c r="F55" s="46" t="n">
        <f aca="false">(E55-D55)/Tick</f>
        <v>-54.990706058744</v>
      </c>
      <c r="G55" s="81" t="n">
        <f aca="false">Y54</f>
        <v>0</v>
      </c>
      <c r="H55" s="82" t="n">
        <f aca="false">G55/Pos_Limit</f>
        <v>0</v>
      </c>
      <c r="I55" s="83" t="n">
        <f aca="false">-MAX(-1,MIN(1,H55))*Max_Skew_Ticks</f>
        <v>-0</v>
      </c>
      <c r="J55" s="45" t="n">
        <f aca="false">ROUND(E55/Tick+I55-Spread_Ticks/2,0)*Tick</f>
        <v>1.273</v>
      </c>
      <c r="K55" s="45" t="n">
        <f aca="false">J55+Spread_Ticks*Tick</f>
        <v>1.2735</v>
      </c>
      <c r="L55" s="84" t="str">
        <f aca="false">IF(AB54=1,"HALTED","LIVE")</f>
        <v>HALTED</v>
      </c>
      <c r="M55" s="81" t="n">
        <f aca="false">IF(L55="LIVE",IF(C55="BUY",-Clip_Size,IF(C55="SELL",Clip_Size,0)),0)</f>
        <v>0</v>
      </c>
      <c r="N55" s="45" t="n">
        <f aca="false">IF(M55&lt;0,K55,IF(M55&gt;0,J55,0))</f>
        <v>0</v>
      </c>
      <c r="O55" s="81" t="n">
        <f aca="false">G55+M55</f>
        <v>0</v>
      </c>
      <c r="P55" s="85" t="n">
        <f aca="false">IF(M55&lt;0,(K55-E55)*ABS(M55),IF(M55&gt;0,(E55-J55)*M55,0))</f>
        <v>0</v>
      </c>
      <c r="Q55" s="85" t="n">
        <f aca="false">G55*(E55-E54)</f>
        <v>0</v>
      </c>
      <c r="R55" s="85" t="n">
        <f aca="false">AA54+Q55+P55</f>
        <v>-1928.12710420435</v>
      </c>
      <c r="S55" s="86" t="n">
        <f aca="false">IF(ABS(O55)&gt;Pos_Limit,1,0)</f>
        <v>0</v>
      </c>
      <c r="T55" s="86" t="n">
        <f aca="false">IF(AND(AB54=0,R55&lt;=-Loss_Limit),1,0)</f>
        <v>0</v>
      </c>
      <c r="U55" s="84" t="str">
        <f aca="false">IF(T55=1,"LOSS LIMIT",IF(S55=1,"POSITION LIMIT",""))</f>
        <v/>
      </c>
      <c r="V55" s="81" t="n">
        <f aca="false">IF(T55=1,-O55,IF(S55=1,-(O55-SIGN(O55)*Hedge_Target),0))</f>
        <v>0</v>
      </c>
      <c r="W55" s="45" t="n">
        <f aca="false">IF(V55&gt;0,E55+Hedge_Cost_Ticks*Tick,IF(V55&lt;0,E55-Hedge_Cost_Ticks*Tick,0))</f>
        <v>0</v>
      </c>
      <c r="X55" s="85" t="n">
        <f aca="false">-ABS(V55)*Hedge_Cost_Ticks*Tick</f>
        <v>-0</v>
      </c>
      <c r="Y55" s="81" t="n">
        <f aca="false">O55+V55</f>
        <v>0</v>
      </c>
      <c r="Z55" s="85" t="n">
        <f aca="false">Q55+P55+X55</f>
        <v>0</v>
      </c>
      <c r="AA55" s="85" t="n">
        <f aca="false">AA54+Z55</f>
        <v>-1928.12710420435</v>
      </c>
      <c r="AB55" s="79" t="n">
        <f aca="false">IF(Halt_On_Loss=1,MAX(AB54,T55),0)</f>
        <v>1</v>
      </c>
      <c r="AC55" s="85" t="n">
        <f aca="false">Y55*E55</f>
        <v>0</v>
      </c>
    </row>
    <row r="56" customFormat="false" ht="15" hidden="false" customHeight="false" outlineLevel="0" collapsed="false">
      <c r="A56" s="79" t="n">
        <f aca="false">A55+1</f>
        <v>50</v>
      </c>
      <c r="B56" s="80" t="n">
        <v>-1.7</v>
      </c>
      <c r="C56" s="50" t="s">
        <v>222</v>
      </c>
      <c r="D56" s="45" t="n">
        <f aca="false">D55+B56*Step_Vol_Ticks*Tick</f>
        <v>1.27822</v>
      </c>
      <c r="E56" s="45" t="n">
        <f aca="false">D56*(1+Rate_B*Tenor_Days/Basis_B)/(1+Rate_A*Tenor_Days/Basis_A)</f>
        <v>1.27272312260615</v>
      </c>
      <c r="F56" s="46" t="n">
        <f aca="false">(E56-D56)/Tick</f>
        <v>-54.9687739385241</v>
      </c>
      <c r="G56" s="81" t="n">
        <f aca="false">Y55</f>
        <v>0</v>
      </c>
      <c r="H56" s="82" t="n">
        <f aca="false">G56/Pos_Limit</f>
        <v>0</v>
      </c>
      <c r="I56" s="83" t="n">
        <f aca="false">-MAX(-1,MIN(1,H56))*Max_Skew_Ticks</f>
        <v>-0</v>
      </c>
      <c r="J56" s="45" t="n">
        <f aca="false">ROUND(E56/Tick+I56-Spread_Ticks/2,0)*Tick</f>
        <v>1.2725</v>
      </c>
      <c r="K56" s="45" t="n">
        <f aca="false">J56+Spread_Ticks*Tick</f>
        <v>1.273</v>
      </c>
      <c r="L56" s="84" t="str">
        <f aca="false">IF(AB55=1,"HALTED","LIVE")</f>
        <v>HALTED</v>
      </c>
      <c r="M56" s="81" t="n">
        <f aca="false">IF(L56="LIVE",IF(C56="BUY",-Clip_Size,IF(C56="SELL",Clip_Size,0)),0)</f>
        <v>0</v>
      </c>
      <c r="N56" s="45" t="n">
        <f aca="false">IF(M56&lt;0,K56,IF(M56&gt;0,J56,0))</f>
        <v>0</v>
      </c>
      <c r="O56" s="81" t="n">
        <f aca="false">G56+M56</f>
        <v>0</v>
      </c>
      <c r="P56" s="85" t="n">
        <f aca="false">IF(M56&lt;0,(K56-E56)*ABS(M56),IF(M56&gt;0,(E56-J56)*M56,0))</f>
        <v>0</v>
      </c>
      <c r="Q56" s="85" t="n">
        <f aca="false">G56*(E56-E55)</f>
        <v>-0</v>
      </c>
      <c r="R56" s="85" t="n">
        <f aca="false">AA55+Q56+P56</f>
        <v>-1928.12710420435</v>
      </c>
      <c r="S56" s="86" t="n">
        <f aca="false">IF(ABS(O56)&gt;Pos_Limit,1,0)</f>
        <v>0</v>
      </c>
      <c r="T56" s="86" t="n">
        <f aca="false">IF(AND(AB55=0,R56&lt;=-Loss_Limit),1,0)</f>
        <v>0</v>
      </c>
      <c r="U56" s="84" t="str">
        <f aca="false">IF(T56=1,"LOSS LIMIT",IF(S56=1,"POSITION LIMIT",""))</f>
        <v/>
      </c>
      <c r="V56" s="81" t="n">
        <f aca="false">IF(T56=1,-O56,IF(S56=1,-(O56-SIGN(O56)*Hedge_Target),0))</f>
        <v>0</v>
      </c>
      <c r="W56" s="45" t="n">
        <f aca="false">IF(V56&gt;0,E56+Hedge_Cost_Ticks*Tick,IF(V56&lt;0,E56-Hedge_Cost_Ticks*Tick,0))</f>
        <v>0</v>
      </c>
      <c r="X56" s="85" t="n">
        <f aca="false">-ABS(V56)*Hedge_Cost_Ticks*Tick</f>
        <v>-0</v>
      </c>
      <c r="Y56" s="81" t="n">
        <f aca="false">O56+V56</f>
        <v>0</v>
      </c>
      <c r="Z56" s="85" t="n">
        <f aca="false">Q56+P56+X56</f>
        <v>0</v>
      </c>
      <c r="AA56" s="85" t="n">
        <f aca="false">AA55+Z56</f>
        <v>-1928.12710420435</v>
      </c>
      <c r="AB56" s="79" t="n">
        <f aca="false">IF(Halt_On_Loss=1,MAX(AB55,T56),0)</f>
        <v>1</v>
      </c>
      <c r="AC56" s="85" t="n">
        <f aca="false">Y56*E56</f>
        <v>0</v>
      </c>
    </row>
    <row r="57" customFormat="false" ht="15" hidden="false" customHeight="false" outlineLevel="0" collapsed="false">
      <c r="A57" s="79" t="n">
        <f aca="false">A56+1</f>
        <v>51</v>
      </c>
      <c r="B57" s="80" t="n">
        <v>-0.7</v>
      </c>
      <c r="C57" s="50" t="s">
        <v>221</v>
      </c>
      <c r="D57" s="45" t="n">
        <f aca="false">D56+B57*Step_Vol_Ticks*Tick</f>
        <v>1.27801</v>
      </c>
      <c r="E57" s="45" t="n">
        <f aca="false">D57*(1+Rate_B*Tenor_Days/Basis_B)/(1+Rate_A*Tenor_Days/Basis_A)</f>
        <v>1.27251402569345</v>
      </c>
      <c r="F57" s="46" t="n">
        <f aca="false">(E57-D57)/Tick</f>
        <v>-54.9597430654925</v>
      </c>
      <c r="G57" s="81" t="n">
        <f aca="false">Y56</f>
        <v>0</v>
      </c>
      <c r="H57" s="82" t="n">
        <f aca="false">G57/Pos_Limit</f>
        <v>0</v>
      </c>
      <c r="I57" s="83" t="n">
        <f aca="false">-MAX(-1,MIN(1,H57))*Max_Skew_Ticks</f>
        <v>-0</v>
      </c>
      <c r="J57" s="45" t="n">
        <f aca="false">ROUND(E57/Tick+I57-Spread_Ticks/2,0)*Tick</f>
        <v>1.2723</v>
      </c>
      <c r="K57" s="45" t="n">
        <f aca="false">J57+Spread_Ticks*Tick</f>
        <v>1.2728</v>
      </c>
      <c r="L57" s="84" t="str">
        <f aca="false">IF(AB56=1,"HALTED","LIVE")</f>
        <v>HALTED</v>
      </c>
      <c r="M57" s="81" t="n">
        <f aca="false">IF(L57="LIVE",IF(C57="BUY",-Clip_Size,IF(C57="SELL",Clip_Size,0)),0)</f>
        <v>0</v>
      </c>
      <c r="N57" s="45" t="n">
        <f aca="false">IF(M57&lt;0,K57,IF(M57&gt;0,J57,0))</f>
        <v>0</v>
      </c>
      <c r="O57" s="81" t="n">
        <f aca="false">G57+M57</f>
        <v>0</v>
      </c>
      <c r="P57" s="85" t="n">
        <f aca="false">IF(M57&lt;0,(K57-E57)*ABS(M57),IF(M57&gt;0,(E57-J57)*M57,0))</f>
        <v>0</v>
      </c>
      <c r="Q57" s="85" t="n">
        <f aca="false">G57*(E57-E56)</f>
        <v>-0</v>
      </c>
      <c r="R57" s="85" t="n">
        <f aca="false">AA56+Q57+P57</f>
        <v>-1928.12710420435</v>
      </c>
      <c r="S57" s="86" t="n">
        <f aca="false">IF(ABS(O57)&gt;Pos_Limit,1,0)</f>
        <v>0</v>
      </c>
      <c r="T57" s="86" t="n">
        <f aca="false">IF(AND(AB56=0,R57&lt;=-Loss_Limit),1,0)</f>
        <v>0</v>
      </c>
      <c r="U57" s="84" t="str">
        <f aca="false">IF(T57=1,"LOSS LIMIT",IF(S57=1,"POSITION LIMIT",""))</f>
        <v/>
      </c>
      <c r="V57" s="81" t="n">
        <f aca="false">IF(T57=1,-O57,IF(S57=1,-(O57-SIGN(O57)*Hedge_Target),0))</f>
        <v>0</v>
      </c>
      <c r="W57" s="45" t="n">
        <f aca="false">IF(V57&gt;0,E57+Hedge_Cost_Ticks*Tick,IF(V57&lt;0,E57-Hedge_Cost_Ticks*Tick,0))</f>
        <v>0</v>
      </c>
      <c r="X57" s="85" t="n">
        <f aca="false">-ABS(V57)*Hedge_Cost_Ticks*Tick</f>
        <v>-0</v>
      </c>
      <c r="Y57" s="81" t="n">
        <f aca="false">O57+V57</f>
        <v>0</v>
      </c>
      <c r="Z57" s="85" t="n">
        <f aca="false">Q57+P57+X57</f>
        <v>0</v>
      </c>
      <c r="AA57" s="85" t="n">
        <f aca="false">AA56+Z57</f>
        <v>-1928.12710420435</v>
      </c>
      <c r="AB57" s="79" t="n">
        <f aca="false">IF(Halt_On_Loss=1,MAX(AB56,T57),0)</f>
        <v>1</v>
      </c>
      <c r="AC57" s="85" t="n">
        <f aca="false">Y57*E57</f>
        <v>0</v>
      </c>
    </row>
    <row r="58" customFormat="false" ht="15" hidden="false" customHeight="false" outlineLevel="0" collapsed="false">
      <c r="A58" s="79" t="n">
        <f aca="false">A57+1</f>
        <v>52</v>
      </c>
      <c r="B58" s="80" t="n">
        <v>-1.5</v>
      </c>
      <c r="C58" s="50" t="s">
        <v>221</v>
      </c>
      <c r="D58" s="45" t="n">
        <f aca="false">D57+B58*Step_Vol_Ticks*Tick</f>
        <v>1.27756</v>
      </c>
      <c r="E58" s="45" t="n">
        <f aca="false">D58*(1+Rate_B*Tenor_Days/Basis_B)/(1+Rate_A*Tenor_Days/Basis_A)</f>
        <v>1.27206596088053</v>
      </c>
      <c r="F58" s="46" t="n">
        <f aca="false">(E58-D58)/Tick</f>
        <v>-54.9403911947111</v>
      </c>
      <c r="G58" s="81" t="n">
        <f aca="false">Y57</f>
        <v>0</v>
      </c>
      <c r="H58" s="82" t="n">
        <f aca="false">G58/Pos_Limit</f>
        <v>0</v>
      </c>
      <c r="I58" s="83" t="n">
        <f aca="false">-MAX(-1,MIN(1,H58))*Max_Skew_Ticks</f>
        <v>-0</v>
      </c>
      <c r="J58" s="45" t="n">
        <f aca="false">ROUND(E58/Tick+I58-Spread_Ticks/2,0)*Tick</f>
        <v>1.2718</v>
      </c>
      <c r="K58" s="45" t="n">
        <f aca="false">J58+Spread_Ticks*Tick</f>
        <v>1.2723</v>
      </c>
      <c r="L58" s="84" t="str">
        <f aca="false">IF(AB57=1,"HALTED","LIVE")</f>
        <v>HALTED</v>
      </c>
      <c r="M58" s="81" t="n">
        <f aca="false">IF(L58="LIVE",IF(C58="BUY",-Clip_Size,IF(C58="SELL",Clip_Size,0)),0)</f>
        <v>0</v>
      </c>
      <c r="N58" s="45" t="n">
        <f aca="false">IF(M58&lt;0,K58,IF(M58&gt;0,J58,0))</f>
        <v>0</v>
      </c>
      <c r="O58" s="81" t="n">
        <f aca="false">G58+M58</f>
        <v>0</v>
      </c>
      <c r="P58" s="85" t="n">
        <f aca="false">IF(M58&lt;0,(K58-E58)*ABS(M58),IF(M58&gt;0,(E58-J58)*M58,0))</f>
        <v>0</v>
      </c>
      <c r="Q58" s="85" t="n">
        <f aca="false">G58*(E58-E57)</f>
        <v>-0</v>
      </c>
      <c r="R58" s="85" t="n">
        <f aca="false">AA57+Q58+P58</f>
        <v>-1928.12710420435</v>
      </c>
      <c r="S58" s="86" t="n">
        <f aca="false">IF(ABS(O58)&gt;Pos_Limit,1,0)</f>
        <v>0</v>
      </c>
      <c r="T58" s="86" t="n">
        <f aca="false">IF(AND(AB57=0,R58&lt;=-Loss_Limit),1,0)</f>
        <v>0</v>
      </c>
      <c r="U58" s="84" t="str">
        <f aca="false">IF(T58=1,"LOSS LIMIT",IF(S58=1,"POSITION LIMIT",""))</f>
        <v/>
      </c>
      <c r="V58" s="81" t="n">
        <f aca="false">IF(T58=1,-O58,IF(S58=1,-(O58-SIGN(O58)*Hedge_Target),0))</f>
        <v>0</v>
      </c>
      <c r="W58" s="45" t="n">
        <f aca="false">IF(V58&gt;0,E58+Hedge_Cost_Ticks*Tick,IF(V58&lt;0,E58-Hedge_Cost_Ticks*Tick,0))</f>
        <v>0</v>
      </c>
      <c r="X58" s="85" t="n">
        <f aca="false">-ABS(V58)*Hedge_Cost_Ticks*Tick</f>
        <v>-0</v>
      </c>
      <c r="Y58" s="81" t="n">
        <f aca="false">O58+V58</f>
        <v>0</v>
      </c>
      <c r="Z58" s="85" t="n">
        <f aca="false">Q58+P58+X58</f>
        <v>0</v>
      </c>
      <c r="AA58" s="85" t="n">
        <f aca="false">AA57+Z58</f>
        <v>-1928.12710420435</v>
      </c>
      <c r="AB58" s="79" t="n">
        <f aca="false">IF(Halt_On_Loss=1,MAX(AB57,T58),0)</f>
        <v>1</v>
      </c>
      <c r="AC58" s="85" t="n">
        <f aca="false">Y58*E58</f>
        <v>0</v>
      </c>
    </row>
    <row r="59" customFormat="false" ht="15" hidden="false" customHeight="false" outlineLevel="0" collapsed="false">
      <c r="A59" s="79" t="n">
        <f aca="false">A58+1</f>
        <v>53</v>
      </c>
      <c r="B59" s="80" t="n">
        <v>-0.2</v>
      </c>
      <c r="C59" s="50" t="s">
        <v>221</v>
      </c>
      <c r="D59" s="45" t="n">
        <f aca="false">D58+B59*Step_Vol_Ticks*Tick</f>
        <v>1.2775</v>
      </c>
      <c r="E59" s="45" t="n">
        <f aca="false">D59*(1+Rate_B*Tenor_Days/Basis_B)/(1+Rate_A*Tenor_Days/Basis_A)</f>
        <v>1.27200621890547</v>
      </c>
      <c r="F59" s="46" t="n">
        <f aca="false">(E59-D59)/Tick</f>
        <v>-54.9378109452725</v>
      </c>
      <c r="G59" s="81" t="n">
        <f aca="false">Y58</f>
        <v>0</v>
      </c>
      <c r="H59" s="82" t="n">
        <f aca="false">G59/Pos_Limit</f>
        <v>0</v>
      </c>
      <c r="I59" s="83" t="n">
        <f aca="false">-MAX(-1,MIN(1,H59))*Max_Skew_Ticks</f>
        <v>-0</v>
      </c>
      <c r="J59" s="45" t="n">
        <f aca="false">ROUND(E59/Tick+I59-Spread_Ticks/2,0)*Tick</f>
        <v>1.2718</v>
      </c>
      <c r="K59" s="45" t="n">
        <f aca="false">J59+Spread_Ticks*Tick</f>
        <v>1.2723</v>
      </c>
      <c r="L59" s="84" t="str">
        <f aca="false">IF(AB58=1,"HALTED","LIVE")</f>
        <v>HALTED</v>
      </c>
      <c r="M59" s="81" t="n">
        <f aca="false">IF(L59="LIVE",IF(C59="BUY",-Clip_Size,IF(C59="SELL",Clip_Size,0)),0)</f>
        <v>0</v>
      </c>
      <c r="N59" s="45" t="n">
        <f aca="false">IF(M59&lt;0,K59,IF(M59&gt;0,J59,0))</f>
        <v>0</v>
      </c>
      <c r="O59" s="81" t="n">
        <f aca="false">G59+M59</f>
        <v>0</v>
      </c>
      <c r="P59" s="85" t="n">
        <f aca="false">IF(M59&lt;0,(K59-E59)*ABS(M59),IF(M59&gt;0,(E59-J59)*M59,0))</f>
        <v>0</v>
      </c>
      <c r="Q59" s="85" t="n">
        <f aca="false">G59*(E59-E58)</f>
        <v>-0</v>
      </c>
      <c r="R59" s="85" t="n">
        <f aca="false">AA58+Q59+P59</f>
        <v>-1928.12710420435</v>
      </c>
      <c r="S59" s="86" t="n">
        <f aca="false">IF(ABS(O59)&gt;Pos_Limit,1,0)</f>
        <v>0</v>
      </c>
      <c r="T59" s="86" t="n">
        <f aca="false">IF(AND(AB58=0,R59&lt;=-Loss_Limit),1,0)</f>
        <v>0</v>
      </c>
      <c r="U59" s="84" t="str">
        <f aca="false">IF(T59=1,"LOSS LIMIT",IF(S59=1,"POSITION LIMIT",""))</f>
        <v/>
      </c>
      <c r="V59" s="81" t="n">
        <f aca="false">IF(T59=1,-O59,IF(S59=1,-(O59-SIGN(O59)*Hedge_Target),0))</f>
        <v>0</v>
      </c>
      <c r="W59" s="45" t="n">
        <f aca="false">IF(V59&gt;0,E59+Hedge_Cost_Ticks*Tick,IF(V59&lt;0,E59-Hedge_Cost_Ticks*Tick,0))</f>
        <v>0</v>
      </c>
      <c r="X59" s="85" t="n">
        <f aca="false">-ABS(V59)*Hedge_Cost_Ticks*Tick</f>
        <v>-0</v>
      </c>
      <c r="Y59" s="81" t="n">
        <f aca="false">O59+V59</f>
        <v>0</v>
      </c>
      <c r="Z59" s="85" t="n">
        <f aca="false">Q59+P59+X59</f>
        <v>0</v>
      </c>
      <c r="AA59" s="85" t="n">
        <f aca="false">AA58+Z59</f>
        <v>-1928.12710420435</v>
      </c>
      <c r="AB59" s="79" t="n">
        <f aca="false">IF(Halt_On_Loss=1,MAX(AB58,T59),0)</f>
        <v>1</v>
      </c>
      <c r="AC59" s="85" t="n">
        <f aca="false">Y59*E59</f>
        <v>0</v>
      </c>
    </row>
    <row r="60" customFormat="false" ht="15" hidden="false" customHeight="false" outlineLevel="0" collapsed="false">
      <c r="A60" s="79" t="n">
        <f aca="false">A59+1</f>
        <v>54</v>
      </c>
      <c r="B60" s="80" t="n">
        <v>0.4</v>
      </c>
      <c r="C60" s="50" t="s">
        <v>221</v>
      </c>
      <c r="D60" s="45" t="n">
        <f aca="false">D59+B60*Step_Vol_Ticks*Tick</f>
        <v>1.27762</v>
      </c>
      <c r="E60" s="45" t="n">
        <f aca="false">D60*(1+Rate_B*Tenor_Days/Basis_B)/(1+Rate_A*Tenor_Days/Basis_A)</f>
        <v>1.27212570285559</v>
      </c>
      <c r="F60" s="46" t="n">
        <f aca="false">(E60-D60)/Tick</f>
        <v>-54.9429714441474</v>
      </c>
      <c r="G60" s="81" t="n">
        <f aca="false">Y59</f>
        <v>0</v>
      </c>
      <c r="H60" s="82" t="n">
        <f aca="false">G60/Pos_Limit</f>
        <v>0</v>
      </c>
      <c r="I60" s="83" t="n">
        <f aca="false">-MAX(-1,MIN(1,H60))*Max_Skew_Ticks</f>
        <v>-0</v>
      </c>
      <c r="J60" s="45" t="n">
        <f aca="false">ROUND(E60/Tick+I60-Spread_Ticks/2,0)*Tick</f>
        <v>1.2719</v>
      </c>
      <c r="K60" s="45" t="n">
        <f aca="false">J60+Spread_Ticks*Tick</f>
        <v>1.2724</v>
      </c>
      <c r="L60" s="84" t="str">
        <f aca="false">IF(AB59=1,"HALTED","LIVE")</f>
        <v>HALTED</v>
      </c>
      <c r="M60" s="81" t="n">
        <f aca="false">IF(L60="LIVE",IF(C60="BUY",-Clip_Size,IF(C60="SELL",Clip_Size,0)),0)</f>
        <v>0</v>
      </c>
      <c r="N60" s="45" t="n">
        <f aca="false">IF(M60&lt;0,K60,IF(M60&gt;0,J60,0))</f>
        <v>0</v>
      </c>
      <c r="O60" s="81" t="n">
        <f aca="false">G60+M60</f>
        <v>0</v>
      </c>
      <c r="P60" s="85" t="n">
        <f aca="false">IF(M60&lt;0,(K60-E60)*ABS(M60),IF(M60&gt;0,(E60-J60)*M60,0))</f>
        <v>0</v>
      </c>
      <c r="Q60" s="85" t="n">
        <f aca="false">G60*(E60-E59)</f>
        <v>0</v>
      </c>
      <c r="R60" s="85" t="n">
        <f aca="false">AA59+Q60+P60</f>
        <v>-1928.12710420435</v>
      </c>
      <c r="S60" s="86" t="n">
        <f aca="false">IF(ABS(O60)&gt;Pos_Limit,1,0)</f>
        <v>0</v>
      </c>
      <c r="T60" s="86" t="n">
        <f aca="false">IF(AND(AB59=0,R60&lt;=-Loss_Limit),1,0)</f>
        <v>0</v>
      </c>
      <c r="U60" s="84" t="str">
        <f aca="false">IF(T60=1,"LOSS LIMIT",IF(S60=1,"POSITION LIMIT",""))</f>
        <v/>
      </c>
      <c r="V60" s="81" t="n">
        <f aca="false">IF(T60=1,-O60,IF(S60=1,-(O60-SIGN(O60)*Hedge_Target),0))</f>
        <v>0</v>
      </c>
      <c r="W60" s="45" t="n">
        <f aca="false">IF(V60&gt;0,E60+Hedge_Cost_Ticks*Tick,IF(V60&lt;0,E60-Hedge_Cost_Ticks*Tick,0))</f>
        <v>0</v>
      </c>
      <c r="X60" s="85" t="n">
        <f aca="false">-ABS(V60)*Hedge_Cost_Ticks*Tick</f>
        <v>-0</v>
      </c>
      <c r="Y60" s="81" t="n">
        <f aca="false">O60+V60</f>
        <v>0</v>
      </c>
      <c r="Z60" s="85" t="n">
        <f aca="false">Q60+P60+X60</f>
        <v>0</v>
      </c>
      <c r="AA60" s="85" t="n">
        <f aca="false">AA59+Z60</f>
        <v>-1928.12710420435</v>
      </c>
      <c r="AB60" s="79" t="n">
        <f aca="false">IF(Halt_On_Loss=1,MAX(AB59,T60),0)</f>
        <v>1</v>
      </c>
      <c r="AC60" s="85" t="n">
        <f aca="false">Y60*E60</f>
        <v>0</v>
      </c>
    </row>
    <row r="61" customFormat="false" ht="15" hidden="false" customHeight="false" outlineLevel="0" collapsed="false">
      <c r="A61" s="79" t="n">
        <f aca="false">A60+1</f>
        <v>55</v>
      </c>
      <c r="B61" s="80" t="n">
        <v>-0.5</v>
      </c>
      <c r="C61" s="50" t="s">
        <v>221</v>
      </c>
      <c r="D61" s="45" t="n">
        <f aca="false">D60+B61*Step_Vol_Ticks*Tick</f>
        <v>1.27747</v>
      </c>
      <c r="E61" s="45" t="n">
        <f aca="false">D61*(1+Rate_B*Tenor_Days/Basis_B)/(1+Rate_A*Tenor_Days/Basis_A)</f>
        <v>1.27197634791794</v>
      </c>
      <c r="F61" s="46" t="n">
        <f aca="false">(E61-D61)/Tick</f>
        <v>-54.9365208205521</v>
      </c>
      <c r="G61" s="81" t="n">
        <f aca="false">Y60</f>
        <v>0</v>
      </c>
      <c r="H61" s="82" t="n">
        <f aca="false">G61/Pos_Limit</f>
        <v>0</v>
      </c>
      <c r="I61" s="83" t="n">
        <f aca="false">-MAX(-1,MIN(1,H61))*Max_Skew_Ticks</f>
        <v>-0</v>
      </c>
      <c r="J61" s="45" t="n">
        <f aca="false">ROUND(E61/Tick+I61-Spread_Ticks/2,0)*Tick</f>
        <v>1.2717</v>
      </c>
      <c r="K61" s="45" t="n">
        <f aca="false">J61+Spread_Ticks*Tick</f>
        <v>1.2722</v>
      </c>
      <c r="L61" s="84" t="str">
        <f aca="false">IF(AB60=1,"HALTED","LIVE")</f>
        <v>HALTED</v>
      </c>
      <c r="M61" s="81" t="n">
        <f aca="false">IF(L61="LIVE",IF(C61="BUY",-Clip_Size,IF(C61="SELL",Clip_Size,0)),0)</f>
        <v>0</v>
      </c>
      <c r="N61" s="45" t="n">
        <f aca="false">IF(M61&lt;0,K61,IF(M61&gt;0,J61,0))</f>
        <v>0</v>
      </c>
      <c r="O61" s="81" t="n">
        <f aca="false">G61+M61</f>
        <v>0</v>
      </c>
      <c r="P61" s="85" t="n">
        <f aca="false">IF(M61&lt;0,(K61-E61)*ABS(M61),IF(M61&gt;0,(E61-J61)*M61,0))</f>
        <v>0</v>
      </c>
      <c r="Q61" s="85" t="n">
        <f aca="false">G61*(E61-E60)</f>
        <v>-0</v>
      </c>
      <c r="R61" s="85" t="n">
        <f aca="false">AA60+Q61+P61</f>
        <v>-1928.12710420435</v>
      </c>
      <c r="S61" s="86" t="n">
        <f aca="false">IF(ABS(O61)&gt;Pos_Limit,1,0)</f>
        <v>0</v>
      </c>
      <c r="T61" s="86" t="n">
        <f aca="false">IF(AND(AB60=0,R61&lt;=-Loss_Limit),1,0)</f>
        <v>0</v>
      </c>
      <c r="U61" s="84" t="str">
        <f aca="false">IF(T61=1,"LOSS LIMIT",IF(S61=1,"POSITION LIMIT",""))</f>
        <v/>
      </c>
      <c r="V61" s="81" t="n">
        <f aca="false">IF(T61=1,-O61,IF(S61=1,-(O61-SIGN(O61)*Hedge_Target),0))</f>
        <v>0</v>
      </c>
      <c r="W61" s="45" t="n">
        <f aca="false">IF(V61&gt;0,E61+Hedge_Cost_Ticks*Tick,IF(V61&lt;0,E61-Hedge_Cost_Ticks*Tick,0))</f>
        <v>0</v>
      </c>
      <c r="X61" s="85" t="n">
        <f aca="false">-ABS(V61)*Hedge_Cost_Ticks*Tick</f>
        <v>-0</v>
      </c>
      <c r="Y61" s="81" t="n">
        <f aca="false">O61+V61</f>
        <v>0</v>
      </c>
      <c r="Z61" s="85" t="n">
        <f aca="false">Q61+P61+X61</f>
        <v>0</v>
      </c>
      <c r="AA61" s="85" t="n">
        <f aca="false">AA60+Z61</f>
        <v>-1928.12710420435</v>
      </c>
      <c r="AB61" s="79" t="n">
        <f aca="false">IF(Halt_On_Loss=1,MAX(AB60,T61),0)</f>
        <v>1</v>
      </c>
      <c r="AC61" s="85" t="n">
        <f aca="false">Y61*E61</f>
        <v>0</v>
      </c>
    </row>
    <row r="62" customFormat="false" ht="15" hidden="false" customHeight="false" outlineLevel="0" collapsed="false">
      <c r="A62" s="79" t="n">
        <f aca="false">A61+1</f>
        <v>56</v>
      </c>
      <c r="B62" s="80" t="n">
        <v>0</v>
      </c>
      <c r="C62" s="50" t="s">
        <v>220</v>
      </c>
      <c r="D62" s="45" t="n">
        <f aca="false">D61+B62*Step_Vol_Ticks*Tick</f>
        <v>1.27747</v>
      </c>
      <c r="E62" s="45" t="n">
        <f aca="false">D62*(1+Rate_B*Tenor_Days/Basis_B)/(1+Rate_A*Tenor_Days/Basis_A)</f>
        <v>1.27197634791794</v>
      </c>
      <c r="F62" s="46" t="n">
        <f aca="false">(E62-D62)/Tick</f>
        <v>-54.9365208205521</v>
      </c>
      <c r="G62" s="81" t="n">
        <f aca="false">Y61</f>
        <v>0</v>
      </c>
      <c r="H62" s="82" t="n">
        <f aca="false">G62/Pos_Limit</f>
        <v>0</v>
      </c>
      <c r="I62" s="83" t="n">
        <f aca="false">-MAX(-1,MIN(1,H62))*Max_Skew_Ticks</f>
        <v>-0</v>
      </c>
      <c r="J62" s="45" t="n">
        <f aca="false">ROUND(E62/Tick+I62-Spread_Ticks/2,0)*Tick</f>
        <v>1.2717</v>
      </c>
      <c r="K62" s="45" t="n">
        <f aca="false">J62+Spread_Ticks*Tick</f>
        <v>1.2722</v>
      </c>
      <c r="L62" s="84" t="str">
        <f aca="false">IF(AB61=1,"HALTED","LIVE")</f>
        <v>HALTED</v>
      </c>
      <c r="M62" s="81" t="n">
        <f aca="false">IF(L62="LIVE",IF(C62="BUY",-Clip_Size,IF(C62="SELL",Clip_Size,0)),0)</f>
        <v>0</v>
      </c>
      <c r="N62" s="45" t="n">
        <f aca="false">IF(M62&lt;0,K62,IF(M62&gt;0,J62,0))</f>
        <v>0</v>
      </c>
      <c r="O62" s="81" t="n">
        <f aca="false">G62+M62</f>
        <v>0</v>
      </c>
      <c r="P62" s="85" t="n">
        <f aca="false">IF(M62&lt;0,(K62-E62)*ABS(M62),IF(M62&gt;0,(E62-J62)*M62,0))</f>
        <v>0</v>
      </c>
      <c r="Q62" s="85" t="n">
        <f aca="false">G62*(E62-E61)</f>
        <v>0</v>
      </c>
      <c r="R62" s="85" t="n">
        <f aca="false">AA61+Q62+P62</f>
        <v>-1928.12710420435</v>
      </c>
      <c r="S62" s="86" t="n">
        <f aca="false">IF(ABS(O62)&gt;Pos_Limit,1,0)</f>
        <v>0</v>
      </c>
      <c r="T62" s="86" t="n">
        <f aca="false">IF(AND(AB61=0,R62&lt;=-Loss_Limit),1,0)</f>
        <v>0</v>
      </c>
      <c r="U62" s="84" t="str">
        <f aca="false">IF(T62=1,"LOSS LIMIT",IF(S62=1,"POSITION LIMIT",""))</f>
        <v/>
      </c>
      <c r="V62" s="81" t="n">
        <f aca="false">IF(T62=1,-O62,IF(S62=1,-(O62-SIGN(O62)*Hedge_Target),0))</f>
        <v>0</v>
      </c>
      <c r="W62" s="45" t="n">
        <f aca="false">IF(V62&gt;0,E62+Hedge_Cost_Ticks*Tick,IF(V62&lt;0,E62-Hedge_Cost_Ticks*Tick,0))</f>
        <v>0</v>
      </c>
      <c r="X62" s="85" t="n">
        <f aca="false">-ABS(V62)*Hedge_Cost_Ticks*Tick</f>
        <v>-0</v>
      </c>
      <c r="Y62" s="81" t="n">
        <f aca="false">O62+V62</f>
        <v>0</v>
      </c>
      <c r="Z62" s="85" t="n">
        <f aca="false">Q62+P62+X62</f>
        <v>0</v>
      </c>
      <c r="AA62" s="85" t="n">
        <f aca="false">AA61+Z62</f>
        <v>-1928.12710420435</v>
      </c>
      <c r="AB62" s="79" t="n">
        <f aca="false">IF(Halt_On_Loss=1,MAX(AB61,T62),0)</f>
        <v>1</v>
      </c>
      <c r="AC62" s="85" t="n">
        <f aca="false">Y62*E62</f>
        <v>0</v>
      </c>
    </row>
    <row r="63" customFormat="false" ht="15" hidden="false" customHeight="false" outlineLevel="0" collapsed="false">
      <c r="A63" s="79" t="n">
        <f aca="false">A62+1</f>
        <v>57</v>
      </c>
      <c r="B63" s="80" t="n">
        <v>0.2</v>
      </c>
      <c r="C63" s="50" t="s">
        <v>221</v>
      </c>
      <c r="D63" s="45" t="n">
        <f aca="false">D62+B63*Step_Vol_Ticks*Tick</f>
        <v>1.27753</v>
      </c>
      <c r="E63" s="45" t="n">
        <f aca="false">D63*(1+Rate_B*Tenor_Days/Basis_B)/(1+Rate_A*Tenor_Days/Basis_A)</f>
        <v>1.272036089893</v>
      </c>
      <c r="F63" s="46" t="n">
        <f aca="false">(E63-D63)/Tick</f>
        <v>-54.9391010699907</v>
      </c>
      <c r="G63" s="81" t="n">
        <f aca="false">Y62</f>
        <v>0</v>
      </c>
      <c r="H63" s="82" t="n">
        <f aca="false">G63/Pos_Limit</f>
        <v>0</v>
      </c>
      <c r="I63" s="83" t="n">
        <f aca="false">-MAX(-1,MIN(1,H63))*Max_Skew_Ticks</f>
        <v>-0</v>
      </c>
      <c r="J63" s="45" t="n">
        <f aca="false">ROUND(E63/Tick+I63-Spread_Ticks/2,0)*Tick</f>
        <v>1.2718</v>
      </c>
      <c r="K63" s="45" t="n">
        <f aca="false">J63+Spread_Ticks*Tick</f>
        <v>1.2723</v>
      </c>
      <c r="L63" s="84" t="str">
        <f aca="false">IF(AB62=1,"HALTED","LIVE")</f>
        <v>HALTED</v>
      </c>
      <c r="M63" s="81" t="n">
        <f aca="false">IF(L63="LIVE",IF(C63="BUY",-Clip_Size,IF(C63="SELL",Clip_Size,0)),0)</f>
        <v>0</v>
      </c>
      <c r="N63" s="45" t="n">
        <f aca="false">IF(M63&lt;0,K63,IF(M63&gt;0,J63,0))</f>
        <v>0</v>
      </c>
      <c r="O63" s="81" t="n">
        <f aca="false">G63+M63</f>
        <v>0</v>
      </c>
      <c r="P63" s="85" t="n">
        <f aca="false">IF(M63&lt;0,(K63-E63)*ABS(M63),IF(M63&gt;0,(E63-J63)*M63,0))</f>
        <v>0</v>
      </c>
      <c r="Q63" s="85" t="n">
        <f aca="false">G63*(E63-E62)</f>
        <v>0</v>
      </c>
      <c r="R63" s="85" t="n">
        <f aca="false">AA62+Q63+P63</f>
        <v>-1928.12710420435</v>
      </c>
      <c r="S63" s="86" t="n">
        <f aca="false">IF(ABS(O63)&gt;Pos_Limit,1,0)</f>
        <v>0</v>
      </c>
      <c r="T63" s="86" t="n">
        <f aca="false">IF(AND(AB62=0,R63&lt;=-Loss_Limit),1,0)</f>
        <v>0</v>
      </c>
      <c r="U63" s="84" t="str">
        <f aca="false">IF(T63=1,"LOSS LIMIT",IF(S63=1,"POSITION LIMIT",""))</f>
        <v/>
      </c>
      <c r="V63" s="81" t="n">
        <f aca="false">IF(T63=1,-O63,IF(S63=1,-(O63-SIGN(O63)*Hedge_Target),0))</f>
        <v>0</v>
      </c>
      <c r="W63" s="45" t="n">
        <f aca="false">IF(V63&gt;0,E63+Hedge_Cost_Ticks*Tick,IF(V63&lt;0,E63-Hedge_Cost_Ticks*Tick,0))</f>
        <v>0</v>
      </c>
      <c r="X63" s="85" t="n">
        <f aca="false">-ABS(V63)*Hedge_Cost_Ticks*Tick</f>
        <v>-0</v>
      </c>
      <c r="Y63" s="81" t="n">
        <f aca="false">O63+V63</f>
        <v>0</v>
      </c>
      <c r="Z63" s="85" t="n">
        <f aca="false">Q63+P63+X63</f>
        <v>0</v>
      </c>
      <c r="AA63" s="85" t="n">
        <f aca="false">AA62+Z63</f>
        <v>-1928.12710420435</v>
      </c>
      <c r="AB63" s="79" t="n">
        <f aca="false">IF(Halt_On_Loss=1,MAX(AB62,T63),0)</f>
        <v>1</v>
      </c>
      <c r="AC63" s="85" t="n">
        <f aca="false">Y63*E63</f>
        <v>0</v>
      </c>
    </row>
    <row r="64" customFormat="false" ht="15" hidden="false" customHeight="false" outlineLevel="0" collapsed="false">
      <c r="A64" s="79" t="n">
        <f aca="false">A63+1</f>
        <v>58</v>
      </c>
      <c r="B64" s="80" t="n">
        <v>0.2</v>
      </c>
      <c r="C64" s="50" t="s">
        <v>221</v>
      </c>
      <c r="D64" s="45" t="n">
        <f aca="false">D63+B64*Step_Vol_Ticks*Tick</f>
        <v>1.27759</v>
      </c>
      <c r="E64" s="45" t="n">
        <f aca="false">D64*(1+Rate_B*Tenor_Days/Basis_B)/(1+Rate_A*Tenor_Days/Basis_A)</f>
        <v>1.27209583186806</v>
      </c>
      <c r="F64" s="46" t="n">
        <f aca="false">(E64-D64)/Tick</f>
        <v>-54.941681319427</v>
      </c>
      <c r="G64" s="81" t="n">
        <f aca="false">Y63</f>
        <v>0</v>
      </c>
      <c r="H64" s="82" t="n">
        <f aca="false">G64/Pos_Limit</f>
        <v>0</v>
      </c>
      <c r="I64" s="83" t="n">
        <f aca="false">-MAX(-1,MIN(1,H64))*Max_Skew_Ticks</f>
        <v>-0</v>
      </c>
      <c r="J64" s="45" t="n">
        <f aca="false">ROUND(E64/Tick+I64-Spread_Ticks/2,0)*Tick</f>
        <v>1.2718</v>
      </c>
      <c r="K64" s="45" t="n">
        <f aca="false">J64+Spread_Ticks*Tick</f>
        <v>1.2723</v>
      </c>
      <c r="L64" s="84" t="str">
        <f aca="false">IF(AB63=1,"HALTED","LIVE")</f>
        <v>HALTED</v>
      </c>
      <c r="M64" s="81" t="n">
        <f aca="false">IF(L64="LIVE",IF(C64="BUY",-Clip_Size,IF(C64="SELL",Clip_Size,0)),0)</f>
        <v>0</v>
      </c>
      <c r="N64" s="45" t="n">
        <f aca="false">IF(M64&lt;0,K64,IF(M64&gt;0,J64,0))</f>
        <v>0</v>
      </c>
      <c r="O64" s="81" t="n">
        <f aca="false">G64+M64</f>
        <v>0</v>
      </c>
      <c r="P64" s="85" t="n">
        <f aca="false">IF(M64&lt;0,(K64-E64)*ABS(M64),IF(M64&gt;0,(E64-J64)*M64,0))</f>
        <v>0</v>
      </c>
      <c r="Q64" s="85" t="n">
        <f aca="false">G64*(E64-E63)</f>
        <v>0</v>
      </c>
      <c r="R64" s="85" t="n">
        <f aca="false">AA63+Q64+P64</f>
        <v>-1928.12710420435</v>
      </c>
      <c r="S64" s="86" t="n">
        <f aca="false">IF(ABS(O64)&gt;Pos_Limit,1,0)</f>
        <v>0</v>
      </c>
      <c r="T64" s="86" t="n">
        <f aca="false">IF(AND(AB63=0,R64&lt;=-Loss_Limit),1,0)</f>
        <v>0</v>
      </c>
      <c r="U64" s="84" t="str">
        <f aca="false">IF(T64=1,"LOSS LIMIT",IF(S64=1,"POSITION LIMIT",""))</f>
        <v/>
      </c>
      <c r="V64" s="81" t="n">
        <f aca="false">IF(T64=1,-O64,IF(S64=1,-(O64-SIGN(O64)*Hedge_Target),0))</f>
        <v>0</v>
      </c>
      <c r="W64" s="45" t="n">
        <f aca="false">IF(V64&gt;0,E64+Hedge_Cost_Ticks*Tick,IF(V64&lt;0,E64-Hedge_Cost_Ticks*Tick,0))</f>
        <v>0</v>
      </c>
      <c r="X64" s="85" t="n">
        <f aca="false">-ABS(V64)*Hedge_Cost_Ticks*Tick</f>
        <v>-0</v>
      </c>
      <c r="Y64" s="81" t="n">
        <f aca="false">O64+V64</f>
        <v>0</v>
      </c>
      <c r="Z64" s="85" t="n">
        <f aca="false">Q64+P64+X64</f>
        <v>0</v>
      </c>
      <c r="AA64" s="85" t="n">
        <f aca="false">AA63+Z64</f>
        <v>-1928.12710420435</v>
      </c>
      <c r="AB64" s="79" t="n">
        <f aca="false">IF(Halt_On_Loss=1,MAX(AB63,T64),0)</f>
        <v>1</v>
      </c>
      <c r="AC64" s="85" t="n">
        <f aca="false">Y64*E64</f>
        <v>0</v>
      </c>
    </row>
    <row r="65" customFormat="false" ht="15" hidden="false" customHeight="false" outlineLevel="0" collapsed="false">
      <c r="A65" s="79" t="n">
        <f aca="false">A64+1</f>
        <v>59</v>
      </c>
      <c r="B65" s="80" t="n">
        <v>0.4</v>
      </c>
      <c r="C65" s="50" t="s">
        <v>220</v>
      </c>
      <c r="D65" s="45" t="n">
        <f aca="false">D64+B65*Step_Vol_Ticks*Tick</f>
        <v>1.27771</v>
      </c>
      <c r="E65" s="45" t="n">
        <f aca="false">D65*(1+Rate_B*Tenor_Days/Basis_B)/(1+Rate_A*Tenor_Days/Basis_A)</f>
        <v>1.27221531581817</v>
      </c>
      <c r="F65" s="46" t="n">
        <f aca="false">(E65-D65)/Tick</f>
        <v>-54.9468418183041</v>
      </c>
      <c r="G65" s="81" t="n">
        <f aca="false">Y64</f>
        <v>0</v>
      </c>
      <c r="H65" s="82" t="n">
        <f aca="false">G65/Pos_Limit</f>
        <v>0</v>
      </c>
      <c r="I65" s="83" t="n">
        <f aca="false">-MAX(-1,MIN(1,H65))*Max_Skew_Ticks</f>
        <v>-0</v>
      </c>
      <c r="J65" s="45" t="n">
        <f aca="false">ROUND(E65/Tick+I65-Spread_Ticks/2,0)*Tick</f>
        <v>1.272</v>
      </c>
      <c r="K65" s="45" t="n">
        <f aca="false">J65+Spread_Ticks*Tick</f>
        <v>1.2725</v>
      </c>
      <c r="L65" s="84" t="str">
        <f aca="false">IF(AB64=1,"HALTED","LIVE")</f>
        <v>HALTED</v>
      </c>
      <c r="M65" s="81" t="n">
        <f aca="false">IF(L65="LIVE",IF(C65="BUY",-Clip_Size,IF(C65="SELL",Clip_Size,0)),0)</f>
        <v>0</v>
      </c>
      <c r="N65" s="45" t="n">
        <f aca="false">IF(M65&lt;0,K65,IF(M65&gt;0,J65,0))</f>
        <v>0</v>
      </c>
      <c r="O65" s="81" t="n">
        <f aca="false">G65+M65</f>
        <v>0</v>
      </c>
      <c r="P65" s="85" t="n">
        <f aca="false">IF(M65&lt;0,(K65-E65)*ABS(M65),IF(M65&gt;0,(E65-J65)*M65,0))</f>
        <v>0</v>
      </c>
      <c r="Q65" s="85" t="n">
        <f aca="false">G65*(E65-E64)</f>
        <v>0</v>
      </c>
      <c r="R65" s="85" t="n">
        <f aca="false">AA64+Q65+P65</f>
        <v>-1928.12710420435</v>
      </c>
      <c r="S65" s="86" t="n">
        <f aca="false">IF(ABS(O65)&gt;Pos_Limit,1,0)</f>
        <v>0</v>
      </c>
      <c r="T65" s="86" t="n">
        <f aca="false">IF(AND(AB64=0,R65&lt;=-Loss_Limit),1,0)</f>
        <v>0</v>
      </c>
      <c r="U65" s="84" t="str">
        <f aca="false">IF(T65=1,"LOSS LIMIT",IF(S65=1,"POSITION LIMIT",""))</f>
        <v/>
      </c>
      <c r="V65" s="81" t="n">
        <f aca="false">IF(T65=1,-O65,IF(S65=1,-(O65-SIGN(O65)*Hedge_Target),0))</f>
        <v>0</v>
      </c>
      <c r="W65" s="45" t="n">
        <f aca="false">IF(V65&gt;0,E65+Hedge_Cost_Ticks*Tick,IF(V65&lt;0,E65-Hedge_Cost_Ticks*Tick,0))</f>
        <v>0</v>
      </c>
      <c r="X65" s="85" t="n">
        <f aca="false">-ABS(V65)*Hedge_Cost_Ticks*Tick</f>
        <v>-0</v>
      </c>
      <c r="Y65" s="81" t="n">
        <f aca="false">O65+V65</f>
        <v>0</v>
      </c>
      <c r="Z65" s="85" t="n">
        <f aca="false">Q65+P65+X65</f>
        <v>0</v>
      </c>
      <c r="AA65" s="85" t="n">
        <f aca="false">AA64+Z65</f>
        <v>-1928.12710420435</v>
      </c>
      <c r="AB65" s="79" t="n">
        <f aca="false">IF(Halt_On_Loss=1,MAX(AB64,T65),0)</f>
        <v>1</v>
      </c>
      <c r="AC65" s="85" t="n">
        <f aca="false">Y65*E65</f>
        <v>0</v>
      </c>
    </row>
    <row r="66" customFormat="false" ht="15" hidden="false" customHeight="false" outlineLevel="0" collapsed="false">
      <c r="A66" s="79" t="n">
        <f aca="false">A65+1</f>
        <v>60</v>
      </c>
      <c r="B66" s="80" t="n">
        <v>-0.5</v>
      </c>
      <c r="C66" s="50" t="s">
        <v>222</v>
      </c>
      <c r="D66" s="45" t="n">
        <f aca="false">D65+B66*Step_Vol_Ticks*Tick</f>
        <v>1.27756</v>
      </c>
      <c r="E66" s="45" t="n">
        <f aca="false">D66*(1+Rate_B*Tenor_Days/Basis_B)/(1+Rate_A*Tenor_Days/Basis_A)</f>
        <v>1.27206596088053</v>
      </c>
      <c r="F66" s="46" t="n">
        <f aca="false">(E66-D66)/Tick</f>
        <v>-54.9403911947111</v>
      </c>
      <c r="G66" s="81" t="n">
        <f aca="false">Y65</f>
        <v>0</v>
      </c>
      <c r="H66" s="82" t="n">
        <f aca="false">G66/Pos_Limit</f>
        <v>0</v>
      </c>
      <c r="I66" s="83" t="n">
        <f aca="false">-MAX(-1,MIN(1,H66))*Max_Skew_Ticks</f>
        <v>-0</v>
      </c>
      <c r="J66" s="45" t="n">
        <f aca="false">ROUND(E66/Tick+I66-Spread_Ticks/2,0)*Tick</f>
        <v>1.2718</v>
      </c>
      <c r="K66" s="45" t="n">
        <f aca="false">J66+Spread_Ticks*Tick</f>
        <v>1.2723</v>
      </c>
      <c r="L66" s="84" t="str">
        <f aca="false">IF(AB65=1,"HALTED","LIVE")</f>
        <v>HALTED</v>
      </c>
      <c r="M66" s="81" t="n">
        <f aca="false">IF(L66="LIVE",IF(C66="BUY",-Clip_Size,IF(C66="SELL",Clip_Size,0)),0)</f>
        <v>0</v>
      </c>
      <c r="N66" s="45" t="n">
        <f aca="false">IF(M66&lt;0,K66,IF(M66&gt;0,J66,0))</f>
        <v>0</v>
      </c>
      <c r="O66" s="81" t="n">
        <f aca="false">G66+M66</f>
        <v>0</v>
      </c>
      <c r="P66" s="85" t="n">
        <f aca="false">IF(M66&lt;0,(K66-E66)*ABS(M66),IF(M66&gt;0,(E66-J66)*M66,0))</f>
        <v>0</v>
      </c>
      <c r="Q66" s="85" t="n">
        <f aca="false">G66*(E66-E65)</f>
        <v>-0</v>
      </c>
      <c r="R66" s="85" t="n">
        <f aca="false">AA65+Q66+P66</f>
        <v>-1928.12710420435</v>
      </c>
      <c r="S66" s="86" t="n">
        <f aca="false">IF(ABS(O66)&gt;Pos_Limit,1,0)</f>
        <v>0</v>
      </c>
      <c r="T66" s="86" t="n">
        <f aca="false">IF(AND(AB65=0,R66&lt;=-Loss_Limit),1,0)</f>
        <v>0</v>
      </c>
      <c r="U66" s="84" t="str">
        <f aca="false">IF(T66=1,"LOSS LIMIT",IF(S66=1,"POSITION LIMIT",""))</f>
        <v/>
      </c>
      <c r="V66" s="81" t="n">
        <f aca="false">IF(T66=1,-O66,IF(S66=1,-(O66-SIGN(O66)*Hedge_Target),0))</f>
        <v>0</v>
      </c>
      <c r="W66" s="45" t="n">
        <f aca="false">IF(V66&gt;0,E66+Hedge_Cost_Ticks*Tick,IF(V66&lt;0,E66-Hedge_Cost_Ticks*Tick,0))</f>
        <v>0</v>
      </c>
      <c r="X66" s="85" t="n">
        <f aca="false">-ABS(V66)*Hedge_Cost_Ticks*Tick</f>
        <v>-0</v>
      </c>
      <c r="Y66" s="81" t="n">
        <f aca="false">O66+V66</f>
        <v>0</v>
      </c>
      <c r="Z66" s="85" t="n">
        <f aca="false">Q66+P66+X66</f>
        <v>0</v>
      </c>
      <c r="AA66" s="85" t="n">
        <f aca="false">AA65+Z66</f>
        <v>-1928.12710420435</v>
      </c>
      <c r="AB66" s="79" t="n">
        <f aca="false">IF(Halt_On_Loss=1,MAX(AB65,T66),0)</f>
        <v>1</v>
      </c>
      <c r="AC66" s="85" t="n">
        <f aca="false">Y66*E66</f>
        <v>0</v>
      </c>
    </row>
  </sheetData>
  <mergeCells count="8">
    <mergeCell ref="A4:C4"/>
    <mergeCell ref="D4:F4"/>
    <mergeCell ref="G4:I4"/>
    <mergeCell ref="J4:L4"/>
    <mergeCell ref="M4:P4"/>
    <mergeCell ref="Q4:T4"/>
    <mergeCell ref="U4:X4"/>
    <mergeCell ref="Y4:AC4"/>
  </mergeCells>
  <conditionalFormatting sqref="A7:AC66">
    <cfRule type="expression" priority="2" aboveAverage="0" equalAverage="0" bottom="0" percent="0" rank="0" text="" dxfId="2">
      <formula>$T7=1</formula>
    </cfRule>
    <cfRule type="expression" priority="3" aboveAverage="0" equalAverage="0" bottom="0" percent="0" rank="0" text="" dxfId="3">
      <formula>$S7=1</formula>
    </cfRule>
    <cfRule type="expression" priority="4" aboveAverage="0" equalAverage="0" bottom="0" percent="0" rank="0" text="" dxfId="4">
      <formula>$L7="HALTED"</formula>
    </cfRule>
  </conditionalFormatting>
  <dataValidations count="2">
    <dataValidation allowBlank="false" error="Choose BUY, SELL or NONE." errorStyle="stop" errorTitle="Client action" operator="between" showDropDown="false" showErrorMessage="true" showInputMessage="false" sqref="C7:C66" type="list">
      <formula1>"BUY,SELL,NONE"</formula1>
      <formula2>0</formula2>
    </dataValidation>
    <dataValidation allowBlank="false" error="Enter a move in sigma units between -8 and 8." errorStyle="stop" errorTitle="Market move" operator="between" showDropDown="false" showErrorMessage="true" showInputMessage="false" sqref="B7:B66" type="decimal">
      <formula1>-8</formula1>
      <formula2>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56"/>
  </cols>
  <sheetData>
    <row r="1" customFormat="false" ht="19.7" hidden="false" customHeight="false" outlineLevel="0" collapsed="false">
      <c r="B1" s="1" t="str">
        <f aca="false">"Simulation Summary: "&amp;Instrument</f>
        <v>Simulation Summary: USD/SGD</v>
      </c>
    </row>
    <row r="2" customFormat="false" ht="15" hidden="false" customHeight="false" outlineLevel="0" collapsed="false">
      <c r="B2" s="2" t="s">
        <v>223</v>
      </c>
    </row>
    <row r="4" customFormat="false" ht="15" hidden="false" customHeight="false" outlineLevel="0" collapsed="false">
      <c r="B4" s="3" t="s">
        <v>224</v>
      </c>
      <c r="C4" s="3"/>
      <c r="D4" s="3"/>
    </row>
    <row r="5" customFormat="false" ht="15" hidden="false" customHeight="false" outlineLevel="0" collapsed="false">
      <c r="B5" s="8" t="s">
        <v>225</v>
      </c>
      <c r="C5" s="21" t="n">
        <f aca="false">COUNT(Simulation!$A$7:$A$66)</f>
        <v>60</v>
      </c>
      <c r="D5" s="87"/>
    </row>
    <row r="6" customFormat="false" ht="15" hidden="false" customHeight="false" outlineLevel="0" collapsed="false">
      <c r="B6" s="8" t="s">
        <v>226</v>
      </c>
      <c r="C6" s="21" t="n">
        <f aca="false">COUNTIF(Simulation!$M$7:$M$66,"&lt;&gt;0")</f>
        <v>26</v>
      </c>
      <c r="D6" s="87" t="s">
        <v>227</v>
      </c>
    </row>
    <row r="7" customFormat="false" ht="15" hidden="false" customHeight="false" outlineLevel="0" collapsed="false">
      <c r="B7" s="8" t="s">
        <v>228</v>
      </c>
      <c r="C7" s="21" t="n">
        <f aca="false">COUNTIF(Simulation!$M$7:$M$66,"&lt;0")</f>
        <v>6</v>
      </c>
      <c r="D7" s="87"/>
    </row>
    <row r="8" customFormat="false" ht="15" hidden="false" customHeight="false" outlineLevel="0" collapsed="false">
      <c r="B8" s="8" t="s">
        <v>229</v>
      </c>
      <c r="C8" s="21" t="n">
        <f aca="false">COUNTIF(Simulation!$M$7:$M$66,"&gt;0")</f>
        <v>20</v>
      </c>
      <c r="D8" s="87"/>
    </row>
    <row r="9" customFormat="false" ht="15" hidden="false" customHeight="false" outlineLevel="0" collapsed="false">
      <c r="B9" s="8" t="str">
        <f aca="false">"Client volume traded ("&amp;Unit_Label&amp;")"</f>
        <v>Client volume traded (USD)</v>
      </c>
      <c r="C9" s="27" t="n">
        <f aca="false">SUMPRODUCT(ABS(Simulation!$M$7:$M$66))</f>
        <v>6500000</v>
      </c>
      <c r="D9" s="87"/>
    </row>
    <row r="10" customFormat="false" ht="15" hidden="false" customHeight="false" outlineLevel="0" collapsed="false">
      <c r="B10" s="8" t="s">
        <v>230</v>
      </c>
      <c r="C10" s="21" t="n">
        <f aca="false">SUMPRODUCT((Simulation!$S$7:$S$66=1)*(Simulation!$T$7:$T$66=0))</f>
        <v>2</v>
      </c>
      <c r="D10" s="87" t="s">
        <v>231</v>
      </c>
    </row>
    <row r="11" customFormat="false" ht="15" hidden="false" customHeight="false" outlineLevel="0" collapsed="false">
      <c r="B11" s="8" t="s">
        <v>232</v>
      </c>
      <c r="C11" s="21" t="n">
        <f aca="false">SUM(Simulation!$T$7:$T$66)</f>
        <v>1</v>
      </c>
      <c r="D11" s="87"/>
    </row>
    <row r="12" customFormat="false" ht="15" hidden="false" customHeight="false" outlineLevel="0" collapsed="false">
      <c r="B12" s="8" t="str">
        <f aca="false">"Hedge volume traded with street ("&amp;Unit_Label&amp;")"</f>
        <v>Hedge volume traded with street (USD)</v>
      </c>
      <c r="C12" s="27" t="n">
        <f aca="false">SUMPRODUCT(ABS(Simulation!$V$7:$V$66))</f>
        <v>3500000</v>
      </c>
      <c r="D12" s="87"/>
    </row>
    <row r="14" customFormat="false" ht="15" hidden="false" customHeight="false" outlineLevel="0" collapsed="false">
      <c r="B14" s="3" t="s">
        <v>233</v>
      </c>
      <c r="C14" s="3"/>
      <c r="D14" s="3"/>
    </row>
    <row r="15" customFormat="false" ht="15" hidden="false" customHeight="false" outlineLevel="0" collapsed="false">
      <c r="B15" s="8" t="str">
        <f aca="false">"Largest |position| after client fill ("&amp;Unit_Label&amp;")"</f>
        <v>Largest |position| after client fill (USD)</v>
      </c>
      <c r="C15" s="27" t="n">
        <f aca="false">MAX(MAX(Simulation!$O$7:$O$66),-MIN(Simulation!$O$7:$O$66))</f>
        <v>1250000</v>
      </c>
      <c r="D15" s="87" t="s">
        <v>234</v>
      </c>
    </row>
    <row r="16" customFormat="false" ht="15" hidden="false" customHeight="false" outlineLevel="0" collapsed="false">
      <c r="B16" s="8" t="str">
        <f aca="false">"Largest |closing position| ("&amp;Unit_Label&amp;")"</f>
        <v>Largest |closing position| (USD)</v>
      </c>
      <c r="C16" s="27" t="n">
        <f aca="false">MAX(MAX(Simulation!$Y$7:$Y$66),-MIN(Simulation!$Y$7:$Y$66))</f>
        <v>1000000</v>
      </c>
      <c r="D16" s="87" t="s">
        <v>235</v>
      </c>
    </row>
    <row r="17" customFormat="false" ht="15" hidden="false" customHeight="false" outlineLevel="0" collapsed="false">
      <c r="B17" s="8" t="str">
        <f aca="false">"Position limit ("&amp;Unit_Label&amp;")"</f>
        <v>Position limit (USD)</v>
      </c>
      <c r="C17" s="27" t="n">
        <f aca="false">Pos_Limit</f>
        <v>1000000</v>
      </c>
      <c r="D17" s="87"/>
    </row>
    <row r="18" customFormat="false" ht="15" hidden="false" customHeight="false" outlineLevel="0" collapsed="false">
      <c r="B18" s="8" t="str">
        <f aca="false">"Worst cumulative P&amp;L ("&amp;PnL_Ccy&amp;")"</f>
        <v>Worst cumulative P&amp;L (SGD)</v>
      </c>
      <c r="C18" s="88" t="n">
        <f aca="false">MIN(Simulation!$AA$6:$AA$66)</f>
        <v>-1928.12710420435</v>
      </c>
      <c r="D18" s="87"/>
    </row>
    <row r="19" customFormat="false" ht="15" hidden="false" customHeight="false" outlineLevel="0" collapsed="false">
      <c r="B19" s="8" t="s">
        <v>236</v>
      </c>
      <c r="C19" s="62" t="n">
        <f aca="false">MAX(0,-C18)/Loss_Limit</f>
        <v>1.07118172455797</v>
      </c>
      <c r="D19" s="87" t="s">
        <v>237</v>
      </c>
    </row>
    <row r="20" customFormat="false" ht="15" hidden="false" customHeight="false" outlineLevel="0" collapsed="false">
      <c r="B20" s="8" t="s">
        <v>238</v>
      </c>
      <c r="C20" s="12" t="str">
        <f aca="false">IF(Simulation!$AB$66=1,"YES","NO")</f>
        <v>YES</v>
      </c>
      <c r="D20" s="87"/>
    </row>
    <row r="21" customFormat="false" ht="15" hidden="false" customHeight="false" outlineLevel="0" collapsed="false">
      <c r="B21" s="8" t="s">
        <v>239</v>
      </c>
      <c r="C21" s="21" t="n">
        <f aca="false">IFERROR(INDEX(Simulation!$A$7:$A$66,MATCH(1,Simulation!$T$7:$T$66,0)),"n/a")</f>
        <v>42</v>
      </c>
      <c r="D21" s="87"/>
    </row>
    <row r="23" customFormat="false" ht="15" hidden="false" customHeight="false" outlineLevel="0" collapsed="false">
      <c r="B23" s="3" t="str">
        <f aca="false">"P&amp;L ATTRIBUTION ("&amp;PnL_Ccy&amp;")"</f>
        <v>P&amp;L ATTRIBUTION (SGD)</v>
      </c>
      <c r="C23" s="3"/>
      <c r="D23" s="3"/>
    </row>
    <row r="24" customFormat="false" ht="15" hidden="false" customHeight="false" outlineLevel="0" collapsed="false">
      <c r="B24" s="8" t="s">
        <v>240</v>
      </c>
      <c r="C24" s="88" t="n">
        <f aca="false">SUM(Simulation!$P$7:$P$66)</f>
        <v>2073.60112110688</v>
      </c>
      <c r="D24" s="87"/>
    </row>
    <row r="25" customFormat="false" ht="15" hidden="false" customHeight="false" outlineLevel="0" collapsed="false">
      <c r="B25" s="8" t="s">
        <v>241</v>
      </c>
      <c r="C25" s="88" t="n">
        <f aca="false">SUM(Simulation!$Q$7:$Q$66)</f>
        <v>-3651.72822531124</v>
      </c>
      <c r="D25" s="87" t="s">
        <v>242</v>
      </c>
    </row>
    <row r="26" customFormat="false" ht="15" hidden="false" customHeight="false" outlineLevel="0" collapsed="false">
      <c r="B26" s="8" t="s">
        <v>243</v>
      </c>
      <c r="C26" s="88" t="n">
        <f aca="false">SUM(Simulation!$X$7:$X$66)</f>
        <v>-350</v>
      </c>
      <c r="D26" s="87"/>
    </row>
    <row r="27" customFormat="false" ht="15" hidden="false" customHeight="false" outlineLevel="0" collapsed="false">
      <c r="B27" s="6" t="s">
        <v>244</v>
      </c>
      <c r="C27" s="89" t="n">
        <f aca="false">SUM(C24:C26)</f>
        <v>-1928.12710420435</v>
      </c>
      <c r="D27" s="87"/>
    </row>
    <row r="28" customFormat="false" ht="15" hidden="false" customHeight="false" outlineLevel="0" collapsed="false">
      <c r="B28" s="8" t="s">
        <v>245</v>
      </c>
      <c r="C28" s="88" t="n">
        <f aca="false">Simulation!$AA$66</f>
        <v>-1928.12710420435</v>
      </c>
      <c r="D28" s="87"/>
    </row>
    <row r="30" customFormat="false" ht="15" hidden="false" customHeight="false" outlineLevel="0" collapsed="false">
      <c r="B30" s="3" t="s">
        <v>246</v>
      </c>
      <c r="C30" s="3"/>
      <c r="D30" s="3"/>
    </row>
    <row r="31" customFormat="false" ht="15" hidden="false" customHeight="false" outlineLevel="0" collapsed="false">
      <c r="B31" s="8" t="s">
        <v>247</v>
      </c>
      <c r="C31" s="12" t="str">
        <f aca="false">IF(ABS(C27-C28)&lt;0.005,"OK","ERROR")</f>
        <v>OK</v>
      </c>
      <c r="D31" s="87" t="s">
        <v>248</v>
      </c>
    </row>
    <row r="32" customFormat="false" ht="15" hidden="false" customHeight="false" outlineLevel="0" collapsed="false">
      <c r="B32" s="8" t="s">
        <v>249</v>
      </c>
      <c r="C32" s="12" t="str">
        <f aca="false">IF(ABS(Start_Pos+SUM(Simulation!$M$7:$M$66)+SUM(Simulation!$V$7:$V$66)-Simulation!$Y$66)&lt;0.5,"OK","ERROR")</f>
        <v>OK</v>
      </c>
      <c r="D32" s="87" t="s">
        <v>250</v>
      </c>
    </row>
    <row r="33" customFormat="false" ht="15" hidden="false" customHeight="false" outlineLevel="0" collapsed="false">
      <c r="B33" s="8" t="s">
        <v>251</v>
      </c>
      <c r="C33" s="12" t="str">
        <f aca="false">IF(SUMPRODUCT((Simulation!$Y$7:$Y$66&lt;&gt;0)*(ABS(Simulation!$Y$7:$Y$66)&gt;Pos_Limit))=0,"OK","ERROR")</f>
        <v>OK</v>
      </c>
      <c r="D33" s="87" t="s">
        <v>252</v>
      </c>
    </row>
  </sheetData>
  <conditionalFormatting sqref="C31:C33">
    <cfRule type="expression" priority="2" aboveAverage="0" equalAverage="0" bottom="0" percent="0" rank="0" text="" dxfId="5">
      <formula>C31="OK"</formula>
    </cfRule>
    <cfRule type="expression" priority="3" aboveAverage="0" equalAverage="0" bottom="0" percent="0" rank="0" text="" dxfId="6">
      <formula>C31="ERROR"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2026-10-12T12:43:31Z</dcterms:created>
  <dc:creator>openpyxl</dc:creator>
  <dc:description/>
  <dc:language>en-US</dc:language>
  <cp:lastModifiedBy/>
  <dcterms:modified xsi:type="dcterms:W3CDTF">2026-10-12T12:43:35Z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